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1"/>
  <mc:AlternateContent xmlns:mc="http://schemas.openxmlformats.org/markup-compatibility/2006">
    <mc:Choice Requires="x15">
      <x15ac:absPath xmlns:x15ac="http://schemas.microsoft.com/office/spreadsheetml/2010/11/ac" url="D:\sync\2 way BikeFit Lab - nikolay mac\transfer\transfer_tg_bot\database\data\"/>
    </mc:Choice>
  </mc:AlternateContent>
  <xr:revisionPtr revIDLastSave="0" documentId="8_{3CF43A1E-8B9F-465A-876D-4C91C103B9F0}" xr6:coauthVersionLast="47" xr6:coauthVersionMax="47" xr10:uidLastSave="{00000000-0000-0000-0000-000000000000}"/>
  <bookViews>
    <workbookView xWindow="-120" yWindow="-120" windowWidth="29040" windowHeight="16440" firstSheet="3" activeTab="4" xr2:uid="{00000000-000D-0000-FFFF-FFFF00000000}"/>
  </bookViews>
  <sheets>
    <sheet name="Структура шаблона" sheetId="1" state="hidden" r:id="rId1"/>
    <sheet name="Шаблон события" sheetId="2" state="hidden" r:id="rId2"/>
    <sheet name="Текущие события" sheetId="3" state="hidden" r:id="rId3"/>
    <sheet name="Договор образец" sheetId="7" r:id="rId4"/>
    <sheet name="Сочи 2025" sheetId="5" r:id="rId5"/>
    <sheet name="Сочи 2025 крыло" sheetId="8" r:id="rId6"/>
    <sheet name="Сочи 2025 староватут" sheetId="9" r:id="rId7"/>
    <sheet name="Данные для печати" sheetId="4" state="hidden" r:id="rId8"/>
    <sheet name="ссссс" sheetId="6" state="hidden" r:id="rId9"/>
  </sheets>
  <externalReferences>
    <externalReference r:id="rId10"/>
  </externalReferences>
  <definedNames>
    <definedName name="_xlnm._FilterDatabase" localSheetId="4" hidden="1">'Сочи 2025'!$G$1:$G$102</definedName>
    <definedName name="крыло" localSheetId="3">#REF!</definedName>
    <definedName name="крыло">#REF!</definedName>
    <definedName name="крыло1" localSheetId="3">#REF!</definedName>
    <definedName name="крыло1">[1]Клиенты!#REF!</definedName>
    <definedName name="крыло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7" l="1"/>
  <c r="A112" i="7"/>
  <c r="A111" i="7"/>
  <c r="G135" i="7"/>
  <c r="E102" i="7"/>
  <c r="A107" i="7"/>
  <c r="O1" i="5"/>
  <c r="E111" i="7" l="1"/>
  <c r="I72" i="7"/>
  <c r="I3" i="7"/>
  <c r="I102" i="7" s="1"/>
  <c r="I135" i="7" s="1"/>
  <c r="H1" i="6"/>
  <c r="N1" i="8" l="1"/>
  <c r="M1" i="8"/>
  <c r="L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Case Bike</author>
    <author>nikolay fr</author>
  </authors>
  <commentList>
    <comment ref="G2" authorId="0" shapeId="0" xr:uid="{9CD4FD02-E3F3-43C7-98F0-E23470EA79C9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10 qr + 2 ТО</t>
        </r>
      </text>
    </comment>
    <comment ref="G8" authorId="1" shapeId="0" xr:uid="{9A3C0394-EA3E-4CC6-9D91-9FA75802ACA5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восьмерки потом
</t>
        </r>
        <r>
          <rPr>
            <sz val="10"/>
            <color rgb="FF000000"/>
            <rFont val="Tahoma"/>
            <family val="2"/>
            <charset val="204"/>
          </rPr>
          <t xml:space="preserve">смазали цепь
</t>
        </r>
      </text>
    </comment>
    <comment ref="H11" authorId="0" shapeId="0" xr:uid="{A5B207D6-B100-41E5-A6F1-8D2A27CCD424}">
      <text>
        <r>
          <rPr>
            <b/>
            <sz val="9"/>
            <color rgb="FF000000"/>
            <rFont val="Tahoma"/>
            <family val="2"/>
          </rPr>
          <t xml:space="preserve">Case Bike:
</t>
        </r>
        <r>
          <rPr>
            <sz val="9"/>
            <color rgb="FF000000"/>
            <rFont val="Tahoma"/>
            <family val="2"/>
            <charset val="204"/>
          </rPr>
          <t>qr</t>
        </r>
      </text>
    </comment>
    <comment ref="G13" authorId="0" shapeId="0" xr:uid="{43122215-8519-4345-AAFC-E7E1A4DCA8A9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уже в работе
</t>
        </r>
        <r>
          <rPr>
            <sz val="9"/>
            <color rgb="FF000000"/>
            <rFont val="Tahoma"/>
            <family val="2"/>
          </rPr>
          <t xml:space="preserve">12к
</t>
        </r>
        <r>
          <rPr>
            <sz val="9"/>
            <color rgb="FF000000"/>
            <rFont val="Tahoma"/>
            <family val="2"/>
          </rPr>
          <t xml:space="preserve">2 за то
</t>
        </r>
      </text>
    </comment>
    <comment ref="H13" authorId="0" shapeId="0" xr:uid="{3914B2AB-4DFC-4DD4-A622-D30EFCA2B070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qr
</t>
        </r>
      </text>
    </comment>
    <comment ref="H14" authorId="0" shapeId="0" xr:uid="{C6746AEA-EF4C-4016-A2FE-69CCAC138408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</t>
        </r>
      </text>
    </comment>
    <comment ref="G15" authorId="1" shapeId="0" xr:uid="{23F598B6-AD04-0D48-A202-4D4602947815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 4650
</t>
        </r>
      </text>
    </comment>
    <comment ref="H17" authorId="0" shapeId="0" xr:uid="{BE32E344-6226-45E7-9800-3EC149941784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нал</t>
        </r>
      </text>
    </comment>
    <comment ref="E19" authorId="0" shapeId="0" xr:uid="{EE98F393-5FA8-4581-87C6-7ADA99D37CC9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сдал тут заберет в крыле
</t>
        </r>
      </text>
    </comment>
    <comment ref="H21" authorId="0" shapeId="0" xr:uid="{C829876A-4B8E-4E27-9DA4-E1CAEB12CEA0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</t>
        </r>
      </text>
    </comment>
    <comment ref="H22" authorId="0" shapeId="0" xr:uid="{442CEF84-8BBE-4EF0-99A8-195BBFC611F3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qr
</t>
        </r>
        <r>
          <rPr>
            <sz val="9"/>
            <color rgb="FF000000"/>
            <rFont val="Tahoma"/>
            <family val="2"/>
          </rPr>
          <t xml:space="preserve"> +2000 ТО
</t>
        </r>
        <r>
          <rPr>
            <sz val="9"/>
            <color rgb="FF000000"/>
            <rFont val="Tahoma"/>
            <family val="2"/>
          </rPr>
          <t xml:space="preserve">что то щелкает и смазать помыть
</t>
        </r>
      </text>
    </comment>
    <comment ref="H25" authorId="0" shapeId="0" xr:uid="{15D98EB2-EAE0-48D0-922E-7EB11F0792B7}">
      <text>
        <r>
          <rPr>
            <b/>
            <sz val="9"/>
            <color indexed="81"/>
            <rFont val="Tahoma"/>
            <family val="2"/>
            <charset val="204"/>
          </rPr>
          <t>Case Bike:</t>
        </r>
        <r>
          <rPr>
            <sz val="9"/>
            <color indexed="81"/>
            <rFont val="Tahoma"/>
            <family val="2"/>
            <charset val="204"/>
          </rPr>
          <t xml:space="preserve">
оплата по qr</t>
        </r>
      </text>
    </comment>
    <comment ref="H32" authorId="0" shapeId="0" xr:uid="{11937F22-9258-4B68-B4BD-B32BA7618FB8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нал 9. 1к колян дал сдачу из своих</t>
        </r>
      </text>
    </comment>
    <comment ref="H33" authorId="0" shapeId="0" xr:uid="{18373D07-1F9F-49FB-978E-C6F29C3311F3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
</t>
        </r>
      </text>
    </comment>
    <comment ref="C39" authorId="0" shapeId="0" xr:uid="{69281930-2B9F-46B9-B7E0-B6A970D756AE}">
      <text>
        <r>
          <rPr>
            <b/>
            <sz val="9"/>
            <color rgb="FF000000"/>
            <rFont val="Tahoma"/>
            <family val="2"/>
          </rPr>
          <t xml:space="preserve">Безнал
</t>
        </r>
      </text>
    </comment>
    <comment ref="H40" authorId="0" shapeId="0" xr:uid="{5BDC3B95-C48F-4DF1-92E2-90A4E31993C3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не оплачено
</t>
        </r>
      </text>
    </comment>
    <comment ref="H46" authorId="0" shapeId="0" xr:uid="{E536546C-4E40-4ED2-B37B-BAEF7E259D96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qr 12k 
</t>
        </r>
        <r>
          <rPr>
            <sz val="9"/>
            <color rgb="FF000000"/>
            <rFont val="Tahoma"/>
            <family val="2"/>
          </rPr>
          <t>2 тыщи за то</t>
        </r>
      </text>
    </comment>
    <comment ref="G47" authorId="1" shapeId="0" xr:uid="{5BEEA0AA-1508-7B4F-AE0B-BFE5ED06E1C5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готово
</t>
        </r>
        <r>
          <rPr>
            <sz val="10"/>
            <color rgb="FF000000"/>
            <rFont val="Tahoma"/>
            <family val="2"/>
            <charset val="204"/>
          </rPr>
          <t xml:space="preserve">смазали цепь помыли
</t>
        </r>
        <r>
          <rPr>
            <sz val="10"/>
            <color rgb="FF000000"/>
            <rFont val="Tahoma"/>
            <family val="2"/>
            <charset val="204"/>
          </rPr>
          <t>2000руб</t>
        </r>
      </text>
    </comment>
    <comment ref="H47" authorId="0" shapeId="0" xr:uid="{BEB3C715-5B61-4D74-BC5D-44FA670A0D63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по qr плюс ТО 2000 оплачено
</t>
        </r>
      </text>
    </comment>
    <comment ref="G48" authorId="1" shapeId="0" xr:uid="{FBFFBF28-BCD1-8A43-93D3-2FE62C6A058C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ник</t>
        </r>
      </text>
    </comment>
    <comment ref="H49" authorId="0" shapeId="0" xr:uid="{083DD475-740F-4CB6-A1BA-035995686D6B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qr</t>
        </r>
      </text>
    </comment>
    <comment ref="C51" authorId="0" shapeId="0" xr:uid="{4644D9D9-15E6-4579-AE69-13CA2A0970CD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проверить
</t>
        </r>
        <r>
          <rPr>
            <sz val="9"/>
            <color rgb="FF000000"/>
            <rFont val="Tahoma"/>
            <family val="2"/>
          </rPr>
          <t>возможно взяли вел уже но в крыле</t>
        </r>
      </text>
    </comment>
    <comment ref="G53" authorId="1" shapeId="0" xr:uid="{24129707-E0A6-4D4B-9F09-59A27A53A58A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в процессе ремонта
</t>
        </r>
        <r>
          <rPr>
            <sz val="10"/>
            <color rgb="FF000000"/>
            <rFont val="Tahoma"/>
            <family val="2"/>
            <charset val="204"/>
          </rPr>
          <t xml:space="preserve">замена покрышек - done
</t>
        </r>
        <r>
          <rPr>
            <sz val="10"/>
            <color rgb="FF000000"/>
            <rFont val="Tahoma"/>
            <family val="2"/>
            <charset val="204"/>
          </rPr>
          <t>замена цепи и кассеты в процессе</t>
        </r>
      </text>
    </comment>
    <comment ref="H53" authorId="0" shapeId="0" xr:uid="{00489289-9D11-44EB-8ECC-F1727DF15B59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нал 20 тыщ</t>
        </r>
      </text>
    </comment>
    <comment ref="G55" authorId="1" shapeId="0" xr:uid="{B8D556FF-E79B-114D-980B-CF13A732D4AC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восьмерки потом
</t>
        </r>
        <r>
          <rPr>
            <sz val="10"/>
            <color rgb="FF000000"/>
            <rFont val="Tahoma"/>
            <family val="2"/>
            <charset val="204"/>
          </rPr>
          <t xml:space="preserve">смазали цепь
</t>
        </r>
      </text>
    </comment>
    <comment ref="G65" authorId="1" shapeId="0" xr:uid="{530FB65E-D526-0346-B65E-8E8A223AE473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в процессе</t>
        </r>
      </text>
    </comment>
    <comment ref="H65" authorId="0" shapeId="0" xr:uid="{9520E809-CF52-4E17-8ED7-C232F8D99EA2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QR
</t>
        </r>
      </text>
    </comment>
    <comment ref="E67" authorId="0" shapeId="0" xr:uid="{8C3E729A-FD43-400E-8781-AB40B2D2E266}">
      <text>
        <r>
          <rPr>
            <b/>
            <sz val="9"/>
            <color indexed="81"/>
            <rFont val="Tahoma"/>
            <charset val="1"/>
          </rPr>
          <t>Case Bike:</t>
        </r>
        <r>
          <rPr>
            <sz val="9"/>
            <color indexed="81"/>
            <rFont val="Tahoma"/>
            <charset val="1"/>
          </rPr>
          <t xml:space="preserve">
после 14 на староватуте
</t>
        </r>
      </text>
    </comment>
    <comment ref="H68" authorId="0" shapeId="0" xr:uid="{E5B0B7A0-6384-458B-8A74-DAEDA2563AE1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нал
</t>
        </r>
        <r>
          <rPr>
            <sz val="9"/>
            <color rgb="FF000000"/>
            <rFont val="Tahoma"/>
            <family val="2"/>
          </rPr>
          <t>николай дал сдачу 1000 из своих денег</t>
        </r>
      </text>
    </comment>
    <comment ref="C69" authorId="0" shapeId="0" xr:uid="{53809837-D437-4AAC-B5DA-C63AB5220B24}">
      <text>
        <r>
          <rPr>
            <b/>
            <sz val="9"/>
            <color rgb="FF000000"/>
            <rFont val="Tahoma"/>
            <family val="2"/>
          </rPr>
          <t xml:space="preserve">двое только туда
</t>
        </r>
      </text>
    </comment>
    <comment ref="D89" authorId="0" shapeId="0" xr:uid="{26496786-49D6-4372-82D5-989B86C2734F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номер водителя</t>
        </r>
      </text>
    </comment>
    <comment ref="G90" authorId="0" shapeId="0" xr:uid="{ED68DB69-3EE8-4275-89BA-9540A2D1BB65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плохо переключается
</t>
        </r>
      </text>
    </comment>
    <comment ref="H92" authorId="0" shapeId="0" xr:uid="{187AA4D3-A69B-4D50-A622-7B0B4AD4FAB3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
</t>
        </r>
      </text>
    </comment>
    <comment ref="E93" authorId="0" shapeId="0" xr:uid="{A04BAA94-C07E-4A55-8DE0-609B98B975CC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сдавал на староваутт
заберет из крыла</t>
        </r>
      </text>
    </comment>
    <comment ref="H94" authorId="0" shapeId="0" xr:uid="{F6AB27C7-F9E4-46BE-8209-86CC5012A01D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</t>
        </r>
      </text>
    </comment>
    <comment ref="H96" authorId="0" shapeId="0" xr:uid="{89E1CA1C-049C-4F43-987B-9CBE0A2DC65B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</t>
        </r>
      </text>
    </comment>
    <comment ref="H97" authorId="0" shapeId="0" xr:uid="{590ED4B5-52D5-4109-98CA-F7B3DBADC168}">
      <text>
        <r>
          <rPr>
            <b/>
            <sz val="9"/>
            <color indexed="81"/>
            <rFont val="Tahoma"/>
            <family val="2"/>
            <charset val="204"/>
          </rPr>
          <t>Case Bike:</t>
        </r>
        <r>
          <rPr>
            <sz val="9"/>
            <color indexed="81"/>
            <rFont val="Tahoma"/>
            <family val="2"/>
            <charset val="204"/>
          </rPr>
          <t xml:space="preserve">
qr
</t>
        </r>
      </text>
    </comment>
    <comment ref="H99" authorId="0" shapeId="0" xr:uid="{3593B0C4-36AC-4E73-BF7D-9CE7A683B858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нал
</t>
        </r>
      </text>
    </comment>
    <comment ref="C102" authorId="1" shapeId="0" xr:uid="{49AF6581-D4EF-F14C-990E-DBDB66D39D85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заберет кто то другой
</t>
        </r>
      </text>
    </comment>
    <comment ref="G102" authorId="0" shapeId="0" xr:uid="{22309434-9A59-4C41-92B8-ACA9654675FD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гена уже сделал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nikolay fr</author>
    <author>Case Bike</author>
  </authors>
  <commentList>
    <comment ref="G5" authorId="0" shapeId="0" xr:uid="{C35BD7B1-7F83-448F-83AB-3B5EEB49E24A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восьмерки потом
</t>
        </r>
        <r>
          <rPr>
            <sz val="10"/>
            <color rgb="FF000000"/>
            <rFont val="Tahoma"/>
            <family val="2"/>
            <charset val="204"/>
          </rPr>
          <t xml:space="preserve">смазали цепь
</t>
        </r>
      </text>
    </comment>
    <comment ref="H6" authorId="1" shapeId="0" xr:uid="{F852D8D1-F560-4B64-ABEA-7FB6FFFC438B}">
      <text>
        <r>
          <rPr>
            <b/>
            <sz val="9"/>
            <color rgb="FF000000"/>
            <rFont val="Tahoma"/>
            <family val="2"/>
          </rPr>
          <t xml:space="preserve">Case Bike:
</t>
        </r>
        <r>
          <rPr>
            <sz val="9"/>
            <color rgb="FF000000"/>
            <rFont val="Tahoma"/>
            <family val="2"/>
            <charset val="204"/>
          </rPr>
          <t>qr</t>
        </r>
      </text>
    </comment>
    <comment ref="H8" authorId="1" shapeId="0" xr:uid="{12D18D9B-AA13-4DBD-95BF-B8BCB8EDD9AE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нал</t>
        </r>
      </text>
    </comment>
    <comment ref="E10" authorId="1" shapeId="0" xr:uid="{64C2289F-103E-42E0-BAEA-89DAD3A77726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сдал тут заберет в крыле
</t>
        </r>
      </text>
    </comment>
    <comment ref="C20" authorId="1" shapeId="0" xr:uid="{09A1DEBC-C585-4DA3-A108-FF98EBFB24B0}">
      <text>
        <r>
          <rPr>
            <b/>
            <sz val="9"/>
            <color rgb="FF000000"/>
            <rFont val="Tahoma"/>
            <family val="2"/>
          </rPr>
          <t xml:space="preserve">Безнал
</t>
        </r>
      </text>
    </comment>
    <comment ref="G21" authorId="0" shapeId="0" xr:uid="{53CA2876-D81D-4B29-8523-DD6D2276998D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готово
</t>
        </r>
        <r>
          <rPr>
            <sz val="10"/>
            <color rgb="FF000000"/>
            <rFont val="Tahoma"/>
            <family val="2"/>
            <charset val="204"/>
          </rPr>
          <t xml:space="preserve">смазали цепь помыли
</t>
        </r>
        <r>
          <rPr>
            <sz val="10"/>
            <color rgb="FF000000"/>
            <rFont val="Tahoma"/>
            <family val="2"/>
            <charset val="204"/>
          </rPr>
          <t>2000руб</t>
        </r>
      </text>
    </comment>
    <comment ref="H21" authorId="1" shapeId="0" xr:uid="{CBF3C77C-87CD-4163-ACED-0E16CAC0352A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по qr плюс ТО 2000 оплачено
</t>
        </r>
      </text>
    </comment>
    <comment ref="G22" authorId="0" shapeId="0" xr:uid="{68704BE6-1C71-472E-8C63-A1551516A388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ник</t>
        </r>
      </text>
    </comment>
    <comment ref="G24" authorId="0" shapeId="0" xr:uid="{ACC1BCE9-8821-4724-8B64-D62DE5046D90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восьмерки потом
</t>
        </r>
        <r>
          <rPr>
            <sz val="10"/>
            <color rgb="FF000000"/>
            <rFont val="Tahoma"/>
            <family val="2"/>
            <charset val="204"/>
          </rPr>
          <t xml:space="preserve">смазали цепь
</t>
        </r>
      </text>
    </comment>
    <comment ref="C31" authorId="1" shapeId="0" xr:uid="{B122ECA9-607D-4138-96B1-40FC634D42F4}">
      <text>
        <r>
          <rPr>
            <b/>
            <sz val="9"/>
            <color rgb="FF000000"/>
            <rFont val="Tahoma"/>
            <family val="2"/>
          </rPr>
          <t xml:space="preserve">двое только туда
</t>
        </r>
      </text>
    </comment>
    <comment ref="G48" authorId="1" shapeId="0" xr:uid="{8C096E7E-1392-463E-ADD8-6572623D3BF0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плохо переключается
</t>
        </r>
      </text>
    </comment>
    <comment ref="E50" authorId="1" shapeId="0" xr:uid="{14DC9759-4584-4D15-AA47-915924C969DF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сдавал на староваутт
заберет из крыла</t>
        </r>
      </text>
    </comment>
    <comment ref="H51" authorId="1" shapeId="0" xr:uid="{6C51633B-A31F-4715-8155-3E3B06855945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</t>
        </r>
      </text>
    </comment>
    <comment ref="H52" authorId="1" shapeId="0" xr:uid="{28260E34-CC24-4167-8998-69AC3C29CDD9}">
      <text>
        <r>
          <rPr>
            <b/>
            <sz val="9"/>
            <color indexed="81"/>
            <rFont val="Tahoma"/>
            <family val="2"/>
            <charset val="204"/>
          </rPr>
          <t>Case Bike:</t>
        </r>
        <r>
          <rPr>
            <sz val="9"/>
            <color indexed="81"/>
            <rFont val="Tahoma"/>
            <family val="2"/>
            <charset val="204"/>
          </rPr>
          <t xml:space="preserve">
qr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Case Bike</author>
    <author>nikolay fr</author>
  </authors>
  <commentList>
    <comment ref="G2" authorId="0" shapeId="0" xr:uid="{6043D3DC-4278-4BC7-91FF-A28FD69E3715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10 qr + 2 ТО</t>
        </r>
      </text>
    </comment>
    <comment ref="G7" authorId="0" shapeId="0" xr:uid="{A4EFFC3A-18D9-4299-84CF-5B26D1331518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уже в работе
</t>
        </r>
        <r>
          <rPr>
            <sz val="9"/>
            <color rgb="FF000000"/>
            <rFont val="Tahoma"/>
            <family val="2"/>
          </rPr>
          <t xml:space="preserve">12к
</t>
        </r>
        <r>
          <rPr>
            <sz val="9"/>
            <color rgb="FF000000"/>
            <rFont val="Tahoma"/>
            <family val="2"/>
          </rPr>
          <t xml:space="preserve">2 за то
</t>
        </r>
      </text>
    </comment>
    <comment ref="H7" authorId="0" shapeId="0" xr:uid="{55990A66-E851-4B30-B8CD-1E8D1198A3FE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qr
</t>
        </r>
      </text>
    </comment>
    <comment ref="H8" authorId="0" shapeId="0" xr:uid="{88951964-511F-4EFD-BC7A-66374D3ECBC3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</t>
        </r>
      </text>
    </comment>
    <comment ref="G9" authorId="1" shapeId="0" xr:uid="{96445BDB-845E-4D76-BFA0-1E6142CAE686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 4650
</t>
        </r>
      </text>
    </comment>
    <comment ref="H11" authorId="0" shapeId="0" xr:uid="{9B9FB324-09C6-47DD-A31A-63A5914DE5C3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</t>
        </r>
      </text>
    </comment>
    <comment ref="H12" authorId="0" shapeId="0" xr:uid="{C12F3D7F-78F0-469F-A321-2C569C269BE8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qr
</t>
        </r>
        <r>
          <rPr>
            <sz val="9"/>
            <color rgb="FF000000"/>
            <rFont val="Tahoma"/>
            <family val="2"/>
          </rPr>
          <t xml:space="preserve"> +2000 ТО
</t>
        </r>
        <r>
          <rPr>
            <sz val="9"/>
            <color rgb="FF000000"/>
            <rFont val="Tahoma"/>
            <family val="2"/>
          </rPr>
          <t xml:space="preserve">что то щелкает и смазать помыть
</t>
        </r>
      </text>
    </comment>
    <comment ref="H14" authorId="0" shapeId="0" xr:uid="{1BA29ACD-E17C-4BAD-A0E0-151D0B54729F}">
      <text>
        <r>
          <rPr>
            <b/>
            <sz val="9"/>
            <color indexed="81"/>
            <rFont val="Tahoma"/>
            <family val="2"/>
            <charset val="204"/>
          </rPr>
          <t>Case Bike:</t>
        </r>
        <r>
          <rPr>
            <sz val="9"/>
            <color indexed="81"/>
            <rFont val="Tahoma"/>
            <family val="2"/>
            <charset val="204"/>
          </rPr>
          <t xml:space="preserve">
оплата по qr</t>
        </r>
      </text>
    </comment>
    <comment ref="H16" authorId="0" shapeId="0" xr:uid="{BEEE3062-BBFE-4BD0-9FFD-40B404A8254A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нал 9. 1к колян дал сдачу из своих</t>
        </r>
      </text>
    </comment>
    <comment ref="H17" authorId="0" shapeId="0" xr:uid="{A2C3E2A9-0AA7-446A-9469-F3ADF5C18A00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
</t>
        </r>
      </text>
    </comment>
    <comment ref="H21" authorId="0" shapeId="0" xr:uid="{FD424D76-1A38-474C-99DC-6365C21C42E1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не оплачено
</t>
        </r>
      </text>
    </comment>
    <comment ref="H27" authorId="0" shapeId="0" xr:uid="{158E1A80-74C8-4003-B73B-9B06668A7A52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qr 12k 
</t>
        </r>
        <r>
          <rPr>
            <sz val="9"/>
            <color rgb="FF000000"/>
            <rFont val="Tahoma"/>
            <family val="2"/>
          </rPr>
          <t>2 тыщи за то</t>
        </r>
      </text>
    </comment>
    <comment ref="H28" authorId="0" shapeId="0" xr:uid="{CC5FA154-3FFD-4628-9FB6-FDD214D22D14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qr</t>
        </r>
      </text>
    </comment>
    <comment ref="C29" authorId="0" shapeId="0" xr:uid="{F2B76A6D-9731-431B-8F7A-D3FAB7EDDD39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проверить
</t>
        </r>
        <r>
          <rPr>
            <sz val="9"/>
            <color rgb="FF000000"/>
            <rFont val="Tahoma"/>
            <family val="2"/>
          </rPr>
          <t>возможно взяли вел уже но в крыле</t>
        </r>
      </text>
    </comment>
    <comment ref="G31" authorId="1" shapeId="0" xr:uid="{7D542BA0-3A5E-4551-9685-8DFDCFCE0E6E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в процессе ремонта
</t>
        </r>
        <r>
          <rPr>
            <sz val="10"/>
            <color rgb="FF000000"/>
            <rFont val="Tahoma"/>
            <family val="2"/>
            <charset val="204"/>
          </rPr>
          <t xml:space="preserve">замена покрышек - done
</t>
        </r>
        <r>
          <rPr>
            <sz val="10"/>
            <color rgb="FF000000"/>
            <rFont val="Tahoma"/>
            <family val="2"/>
            <charset val="204"/>
          </rPr>
          <t>замена цепи и кассеты в процессе</t>
        </r>
      </text>
    </comment>
    <comment ref="H31" authorId="0" shapeId="0" xr:uid="{3BFE7E72-BD00-4408-BD1A-B2AE423F33D5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нал 20 тыщ</t>
        </r>
      </text>
    </comment>
    <comment ref="G36" authorId="1" shapeId="0" xr:uid="{1C0753B8-BB05-4D24-9353-6064EA2C4202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в процессе</t>
        </r>
      </text>
    </comment>
    <comment ref="H36" authorId="0" shapeId="0" xr:uid="{DA2142B1-34CC-4558-9FEE-DF8EF4653EBD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QR
</t>
        </r>
      </text>
    </comment>
    <comment ref="E38" authorId="0" shapeId="0" xr:uid="{4D6375A6-F158-4362-A406-D553BBFA8F22}">
      <text>
        <r>
          <rPr>
            <b/>
            <sz val="9"/>
            <color indexed="81"/>
            <rFont val="Tahoma"/>
            <charset val="1"/>
          </rPr>
          <t>Case Bike:</t>
        </r>
        <r>
          <rPr>
            <sz val="9"/>
            <color indexed="81"/>
            <rFont val="Tahoma"/>
            <charset val="1"/>
          </rPr>
          <t xml:space="preserve">
после 14 на староватуте
</t>
        </r>
      </text>
    </comment>
    <comment ref="H39" authorId="0" shapeId="0" xr:uid="{41603C56-3C22-4A14-8E9E-FCC5FD5174FF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нал
</t>
        </r>
        <r>
          <rPr>
            <sz val="9"/>
            <color rgb="FF000000"/>
            <rFont val="Tahoma"/>
            <family val="2"/>
          </rPr>
          <t>николай дал сдачу 1000 из своих денег</t>
        </r>
      </text>
    </comment>
    <comment ref="D42" authorId="0" shapeId="0" xr:uid="{0233C528-46AC-4C62-95F2-084509D3165A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номер водителя</t>
        </r>
      </text>
    </comment>
    <comment ref="H43" authorId="0" shapeId="0" xr:uid="{28F08EFA-EB83-49E6-AD20-B683A4C32816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
</t>
        </r>
      </text>
    </comment>
    <comment ref="H44" authorId="0" shapeId="0" xr:uid="{80E062DB-BBFD-45F7-8CEE-EAB2580DB39F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qr</t>
        </r>
      </text>
    </comment>
    <comment ref="H47" authorId="0" shapeId="0" xr:uid="{F0145805-F3E6-4F1E-8711-1E760F559969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нал
</t>
        </r>
      </text>
    </comment>
    <comment ref="C48" authorId="1" shapeId="0" xr:uid="{1DFD7E6E-661A-48F4-905B-67208CD2AE29}">
      <text>
        <r>
          <rPr>
            <b/>
            <sz val="10"/>
            <color rgb="FF000000"/>
            <rFont val="Tahoma"/>
            <family val="2"/>
            <charset val="204"/>
          </rPr>
          <t>nikolay fr: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заберет кто то другой
</t>
        </r>
      </text>
    </comment>
    <comment ref="G48" authorId="0" shapeId="0" xr:uid="{A0825902-9477-45D2-AF13-B00F2751713F}">
      <text>
        <r>
          <rPr>
            <b/>
            <sz val="9"/>
            <color rgb="FF000000"/>
            <rFont val="Tahoma"/>
            <family val="2"/>
          </rPr>
          <t>Case Bike: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гена уже сделал
</t>
        </r>
      </text>
    </comment>
    <comment ref="G50" authorId="0" shapeId="0" xr:uid="{99B7C632-DDB0-4CAB-9826-2EC2376BA78A}">
      <text>
        <r>
          <rPr>
            <b/>
            <sz val="9"/>
            <color indexed="81"/>
            <rFont val="Tahoma"/>
            <family val="2"/>
          </rPr>
          <t>Case Bike:</t>
        </r>
        <r>
          <rPr>
            <sz val="9"/>
            <color indexed="81"/>
            <rFont val="Tahoma"/>
            <family val="2"/>
          </rPr>
          <t xml:space="preserve">
нал
</t>
        </r>
      </text>
    </comment>
  </commentList>
</comments>
</file>

<file path=xl/sharedStrings.xml><?xml version="1.0" encoding="utf-8"?>
<sst xmlns="http://schemas.openxmlformats.org/spreadsheetml/2006/main" count="1497" uniqueCount="543">
  <si>
    <t>Номер столбца</t>
  </si>
  <si>
    <t>Кодовое название</t>
  </si>
  <si>
    <t>Название (рус)</t>
  </si>
  <si>
    <t>appNumber</t>
  </si>
  <si>
    <t>№</t>
  </si>
  <si>
    <t>Время</t>
  </si>
  <si>
    <t>full_name</t>
  </si>
  <si>
    <t>ФИО</t>
  </si>
  <si>
    <t>phone</t>
  </si>
  <si>
    <t>Телефон</t>
  </si>
  <si>
    <t>date</t>
  </si>
  <si>
    <t>Дата и место сдачи</t>
  </si>
  <si>
    <t>tech_service_needed</t>
  </si>
  <si>
    <t>ТО</t>
  </si>
  <si>
    <t>price</t>
  </si>
  <si>
    <t>Цена</t>
  </si>
  <si>
    <t>priceText</t>
  </si>
  <si>
    <t>Цена прописью</t>
  </si>
  <si>
    <t>address</t>
  </si>
  <si>
    <t>паспорт адрес</t>
  </si>
  <si>
    <t>passport</t>
  </si>
  <si>
    <t>паспорт номер</t>
  </si>
  <si>
    <t>pasportDate</t>
  </si>
  <si>
    <t>паспорт дата</t>
  </si>
  <si>
    <t>user_id</t>
  </si>
  <si>
    <t>телеграм id</t>
  </si>
  <si>
    <t>email</t>
  </si>
  <si>
    <t>почта</t>
  </si>
  <si>
    <t>appDate</t>
  </si>
  <si>
    <t>дата заявки</t>
  </si>
  <si>
    <t>дата и место сдачи</t>
  </si>
  <si>
    <t>pickupDate</t>
  </si>
  <si>
    <t>дата забора</t>
  </si>
  <si>
    <t>место сдачи</t>
  </si>
  <si>
    <t>pickupPlace</t>
  </si>
  <si>
    <t>место забора</t>
  </si>
  <si>
    <t>надо ТО</t>
  </si>
  <si>
    <t>comment</t>
  </si>
  <si>
    <t>комментарии</t>
  </si>
  <si>
    <t>generalComment</t>
  </si>
  <si>
    <t>общий комментарий</t>
  </si>
  <si>
    <t>externalData</t>
  </si>
  <si>
    <t>дополнительная инфдомация</t>
  </si>
  <si>
    <t>стоимость</t>
  </si>
  <si>
    <t>delivery</t>
  </si>
  <si>
    <t>доставка</t>
  </si>
  <si>
    <t>Внутреннее название события</t>
  </si>
  <si>
    <t>Сочи</t>
  </si>
  <si>
    <t>город в которы</t>
  </si>
  <si>
    <t>г. Сочи</t>
  </si>
  <si>
    <t>год договора</t>
  </si>
  <si>
    <t>день и месяц контракта</t>
  </si>
  <si>
    <t>«26» сентября</t>
  </si>
  <si>
    <t>название, вид события</t>
  </si>
  <si>
    <t>113 / OLYMPIC / SPRINT SIRIUS SOCHI</t>
  </si>
  <si>
    <t>адрес события</t>
  </si>
  <si>
    <t xml:space="preserve"> - г.Сочи, Имеретинская низменность, Морской бульвар, д.1 - </t>
  </si>
  <si>
    <t>дата первых выездов для трансфера</t>
  </si>
  <si>
    <t>дата последних разъезддов для трансфера</t>
  </si>
  <si>
    <t>базовая цена за трансфер (цифра)</t>
  </si>
  <si>
    <t>цена за трансфер (прописью)</t>
  </si>
  <si>
    <t>(Десять тысяч рублей)</t>
  </si>
  <si>
    <t>Расписание</t>
  </si>
  <si>
    <t>даты/часы приема Староватутинский</t>
  </si>
  <si>
    <t>23.09.2025 г. - 29.09.2025 г. с 11:00 до 20:00</t>
  </si>
  <si>
    <t>даты/часы приема день отъезда СтВат</t>
  </si>
  <si>
    <t>даты/часы приема Крыло</t>
  </si>
  <si>
    <t>27.09.2025 г. - 28.09.2025 г. с 11:00 до 20:00</t>
  </si>
  <si>
    <t>даты/часы приема день отъезда Крыло</t>
  </si>
  <si>
    <t>29.09.2025 г. с 11:00 до 14:00</t>
  </si>
  <si>
    <t>даты/часы выдачи перед стартом</t>
  </si>
  <si>
    <t>02.10.2025 г. - 04.10.2025 г. с 11:00 до 20:00</t>
  </si>
  <si>
    <t>даты/часы приема после финиша</t>
  </si>
  <si>
    <t>04.10.2025 г. - 05.10.2025 г. с 16:00 до 20:00</t>
  </si>
  <si>
    <t>даты/часы выдачи Староватутинский</t>
  </si>
  <si>
    <t>09.10.2025 г. - 12.10.2025 г. с 11:00 до 20:00</t>
  </si>
  <si>
    <t>даты/часы выдачи Крыло</t>
  </si>
  <si>
    <t>10.10.2025 г. - 12.10.2025 г. с 15:30 до 20:30</t>
  </si>
  <si>
    <t>дата бесплатного хранения</t>
  </si>
  <si>
    <t>Стаднюк Любовь Петровна</t>
  </si>
  <si>
    <t>+7 985 544 15 74</t>
  </si>
  <si>
    <t>29 сентября</t>
  </si>
  <si>
    <t>нет</t>
  </si>
  <si>
    <t>Восемь тысяч пятьсот рублей</t>
  </si>
  <si>
    <t>г.Москва, ул.Грекова, д.2, кв.53</t>
  </si>
  <si>
    <t>Аверин Андрей Анатольевич</t>
  </si>
  <si>
    <t>+7 915 223 25 24</t>
  </si>
  <si>
    <t>27 сентября</t>
  </si>
  <si>
    <t>Девять тысяч рублей</t>
  </si>
  <si>
    <t>Москва, Ленинградское шоссе д.25, к.1, кв.34</t>
  </si>
  <si>
    <t>(2) Аверин Андрей Анатольевич</t>
  </si>
  <si>
    <t>Струнин Михаил Павлович</t>
  </si>
  <si>
    <t>+7 911 501 10 08</t>
  </si>
  <si>
    <t>28 августа</t>
  </si>
  <si>
    <t>да</t>
  </si>
  <si>
    <t>Десять тысяч рублей</t>
  </si>
  <si>
    <t>Колбин Роман Владимирович</t>
  </si>
  <si>
    <t>+7 902 891 93 45</t>
  </si>
  <si>
    <t>г. Челябинск, Комсомольский пр.,11-5</t>
  </si>
  <si>
    <t>Чудновский Евгений Александрович</t>
  </si>
  <si>
    <t>+7 985 364 81 13</t>
  </si>
  <si>
    <t>Серый Сергей Юрьевич</t>
  </si>
  <si>
    <t>+7 926 372 49 55</t>
  </si>
  <si>
    <t>28 сентября</t>
  </si>
  <si>
    <t>Стратьева Елена Сергеевна</t>
  </si>
  <si>
    <t>+7 903 299 80 52</t>
  </si>
  <si>
    <t>Глянцев Александр Андреевич</t>
  </si>
  <si>
    <t>+7 985 109 07 43</t>
  </si>
  <si>
    <t>(2)Глянцев Александр Андреевич</t>
  </si>
  <si>
    <t>+7 985 109 07 44</t>
  </si>
  <si>
    <t>Пачина Светлана Андреевна</t>
  </si>
  <si>
    <t>+7 964 591 41 60</t>
  </si>
  <si>
    <t>Бутурлин Иван Александрович</t>
  </si>
  <si>
    <t>+7 906 795 46 00</t>
  </si>
  <si>
    <t>(2)Бутурлин Иван Александрович</t>
  </si>
  <si>
    <t>+7 906 795 46 01</t>
  </si>
  <si>
    <t>(3)Бутурлин Иван Александрович</t>
  </si>
  <si>
    <t>+7 906 795 46 02</t>
  </si>
  <si>
    <t>Жуков Евгений Александрович</t>
  </si>
  <si>
    <t>+7 926 563 10 20</t>
  </si>
  <si>
    <t>18 сентября</t>
  </si>
  <si>
    <t>(2)Жуков Евгений Александрович</t>
  </si>
  <si>
    <t>Ажгалиев Ролан</t>
  </si>
  <si>
    <t>89269797240</t>
  </si>
  <si>
    <t>28-krylo</t>
  </si>
  <si>
    <t>Г. Москва, п. Рязановское, Ш. Рязановское 31 к 1 кв 437</t>
  </si>
  <si>
    <t>Савкин Евгений Викторович</t>
  </si>
  <si>
    <t>89137658024</t>
  </si>
  <si>
    <t>Осенний бульвар 12 к9 кВ 1130</t>
  </si>
  <si>
    <t>Гаршин Андрей Евгеньевич</t>
  </si>
  <si>
    <t>89267824231</t>
  </si>
  <si>
    <t>г. Москва, ул Живописная, дом 38, корпус 2, квартира 28</t>
  </si>
  <si>
    <t>Потапов Павел Юрьевич</t>
  </si>
  <si>
    <t>+79104358471</t>
  </si>
  <si>
    <t>23-29-starovatut</t>
  </si>
  <si>
    <t>Москва, ул.Абрамцевская 9 к1 кв.368</t>
  </si>
  <si>
    <t>Волков Кирилл Андреевич</t>
  </si>
  <si>
    <t>+79169938834</t>
  </si>
  <si>
    <t>Москва, ул. Полярная д 13, корп 4, кв 65</t>
  </si>
  <si>
    <t>Литвяков Дмитрий Алексеевич</t>
  </si>
  <si>
    <t>89260638667</t>
  </si>
  <si>
    <t>г.Химки проспект Мельникова 13 кв 55</t>
  </si>
  <si>
    <t>Захаров Антон Андреевич</t>
  </si>
  <si>
    <t>+79035116394</t>
  </si>
  <si>
    <t>Москва, ул. Римского-Корсакова 11к6, кв.215</t>
  </si>
  <si>
    <t>Огуряев Дмитрий Александрович</t>
  </si>
  <si>
    <t>89161531705</t>
  </si>
  <si>
    <t>г. Москва 1-ый Саратовский проезд д 4 кв 109</t>
  </si>
  <si>
    <t>Аскер-Заде Рауф Рамин оглы</t>
  </si>
  <si>
    <t>89264959998</t>
  </si>
  <si>
    <t>27-krylo</t>
  </si>
  <si>
    <t>Москва, пос. Сосенское, квартал 28, д 7, кВ 137</t>
  </si>
  <si>
    <t>4611 522374 21.09.2011</t>
  </si>
  <si>
    <t>Анисимов Натан Даниэль</t>
  </si>
  <si>
    <t>89162988155</t>
  </si>
  <si>
    <t>Московская область, г. Видное, советский проезд д. 4 кВ. 234</t>
  </si>
  <si>
    <t>4518 598175 14.04.2018</t>
  </si>
  <si>
    <t>Полякова Татьяна Юрьевна</t>
  </si>
  <si>
    <t>+79036768959</t>
  </si>
  <si>
    <t>г Калининград ул 9 апреля 56-36</t>
  </si>
  <si>
    <t>Чеснокова Оксана Александровна</t>
  </si>
  <si>
    <t>+79096913084</t>
  </si>
  <si>
    <t>Г.Москва, ул. Коцюбинского, д.10, кв.36</t>
  </si>
  <si>
    <t>4524 579501 02.12.2024</t>
  </si>
  <si>
    <t>Махомет Сергей Анатольевич</t>
  </si>
  <si>
    <t>+79169160066</t>
  </si>
  <si>
    <t>Московская обл., г. Одинцово, ш. Можайское, д. 122, кв.314</t>
  </si>
  <si>
    <t>Калашников Павел Кириллович</t>
  </si>
  <si>
    <t>+7 916 362 11 28</t>
  </si>
  <si>
    <t>Москва, 5-я Кожуховская, 14-1-108</t>
  </si>
  <si>
    <t>Алтухова Елена Анатольевна</t>
  </si>
  <si>
    <t>+7 926 754 00 36</t>
  </si>
  <si>
    <t>Москва Флотская д.29 кв.154</t>
  </si>
  <si>
    <t>Баранов Александр Александрович</t>
  </si>
  <si>
    <t>+7 903 763 59 06</t>
  </si>
  <si>
    <t>г. Красноярск, ул. Красномосковская 3 кв. 23</t>
  </si>
  <si>
    <t>(2)Баранов Александр Александрович</t>
  </si>
  <si>
    <t>+7 903 763 59 07</t>
  </si>
  <si>
    <t>г. Красноярск, ул. Красномосковская 3 кв. 24</t>
  </si>
  <si>
    <t>Харитонов Александр Александрович</t>
  </si>
  <si>
    <t>+7 926 277 76 28</t>
  </si>
  <si>
    <t>29-krylo</t>
  </si>
  <si>
    <t>Афанасьев Аркадий Александрович</t>
  </si>
  <si>
    <t>+7 916 222 97 20</t>
  </si>
  <si>
    <t>Москва.Дубнинская ул,д4,кор1,кв200</t>
  </si>
  <si>
    <t>450111430908</t>
  </si>
  <si>
    <t>Кудбеев Дамир Равелович</t>
  </si>
  <si>
    <t>+7 926 147 79 85</t>
  </si>
  <si>
    <t>Яхрома Железнодорожная 7</t>
  </si>
  <si>
    <t>Оя Юрьевна Грицко</t>
  </si>
  <si>
    <t>+7 964 725 12 60</t>
  </si>
  <si>
    <t>Безнал4</t>
  </si>
  <si>
    <t>Шаповалов Евгений Алексеевич</t>
  </si>
  <si>
    <t>+7 968 769 67 45</t>
  </si>
  <si>
    <t>Shapovalov.e.a@yandex.ru</t>
  </si>
  <si>
    <t>Малород Никита Игоревич</t>
  </si>
  <si>
    <t>+7 926 379 07 04</t>
  </si>
  <si>
    <t>Сергеева Анастасия Андреевна</t>
  </si>
  <si>
    <t>+79256293517</t>
  </si>
  <si>
    <t>Котельники, Белая дача 25к1, 656</t>
  </si>
  <si>
    <t xml:space="preserve">Время </t>
  </si>
  <si>
    <t>Дата Ст</t>
  </si>
  <si>
    <t>Доставка</t>
  </si>
  <si>
    <t xml:space="preserve">ТО </t>
  </si>
  <si>
    <t>цена прописью</t>
  </si>
  <si>
    <t>Адрес</t>
  </si>
  <si>
    <t>Паспорт</t>
  </si>
  <si>
    <t>Дата выд</t>
  </si>
  <si>
    <t>Пункт</t>
  </si>
  <si>
    <t>E-mail</t>
  </si>
  <si>
    <t>Stadnuk12@icloud.com</t>
  </si>
  <si>
    <t>averin_aa@mail.ru</t>
  </si>
  <si>
    <t>kolbinrv@mail.ru</t>
  </si>
  <si>
    <t>Seryserg@gmail.com</t>
  </si>
  <si>
    <t>9067954600@mail.ru</t>
  </si>
  <si>
    <t>Договор оказания экспедиторских услуг  №</t>
  </si>
  <si>
    <t>г. Москва                  </t>
  </si>
  <si>
    <t>Индивидуальный предприниматель Запрягаев Сергей Владимирович, именуемый в дальнейшем Экспедитор,  действующий</t>
  </si>
  <si>
    <t>на основании  ОГРНИП   324774600203151,  и </t>
  </si>
  <si>
    <t xml:space="preserve">ФИО: </t>
  </si>
  <si>
    <t>именуемый(ая) далее Клиент, заключили настоящий Договор о нижеследующем:</t>
  </si>
  <si>
    <t>1. Предмет договора</t>
  </si>
  <si>
    <t>Экспедитор обязуется оказать по поручению Клиента услуги по перевозке и доставке велосипеда(именуемый далее Груз, по</t>
  </si>
  <si>
    <t>желанию Клиента Груз может быть дополнен рюкзаком со спортивной экипировкой объемом до 30 литров), указанного в</t>
  </si>
  <si>
    <t>Акте приема-передачи, являющегося неотъемлемой частью настоящего договора, на соревнование:</t>
  </si>
  <si>
    <t>и обратно по маршруту:</t>
  </si>
  <si>
    <t>в период с</t>
  </si>
  <si>
    <t>по</t>
  </si>
  <si>
    <t>за вознаграждение и за счёт клиента, а Клиент обязуется своевременно, в полном размере производить оплату услуг       </t>
  </si>
  <si>
    <t>Экспедитора в порядке и на условиях, установленных настоящим Договором.</t>
  </si>
  <si>
    <t>2. Права и обязанности сторон</t>
  </si>
  <si>
    <t>2.1. Экспедитор обязан:  </t>
  </si>
  <si>
    <t>2.1.1. Предоставить исправные и застрахованные автотранспортные средства, пригодные для перевозки груза и отвечающие</t>
  </si>
  <si>
    <t>техническим и санитарным требованиям. </t>
  </si>
  <si>
    <t xml:space="preserve">2.1.2.Принять Груз в пункте приема Экспедитора, доставить по указанному в П.1 настоящего договора адресу, выдать его </t>
  </si>
  <si>
    <t>Клиенту для участия в соревнованиях, получить Груз после соревнований, доставить обратно в пункт приема Экспедитора и</t>
  </si>
  <si>
    <t>выдать его Клиенту, в соответствии с расписанием, описанным в П.6 настоящего договора.</t>
  </si>
  <si>
    <t>2.1.3. В случае возникновения по независящим от Экспедитора причинам дополнительных расходов, связанных с перевозкой</t>
  </si>
  <si>
    <t>Груза, которые до начала перевозки не были Экспедитору известны, он обязан уведомить об этом Клиента.</t>
  </si>
  <si>
    <t>В противном случае Экспедитор не вправе требовать оплату этих дополнительных расходов.      </t>
  </si>
  <si>
    <t>2.1.4. Незамедлительно сообщать Клиенту любым доступным способом о вынужденных задержках транспортных средств</t>
  </si>
  <si>
    <t xml:space="preserve">в пути следования, авариях и других происшествиях, препятствующих своевременной доставке Груза </t>
  </si>
  <si>
    <t xml:space="preserve"> либо угрожающих его сохранности.      </t>
  </si>
  <si>
    <t>2.1.5. Экспедитор вправе в рекламных целях использовать по своему усмотрению без согласования с Клиентом фото и</t>
  </si>
  <si>
    <t xml:space="preserve">видеоматериалы, публикации в СМИ, в социальных сетях, на собственном сайте и сайте партнеров, в том числе с </t>
  </si>
  <si>
    <t>упоминанием товарной марки (знака, бренда) Клиента, связанные с исполнением обязательств по настоящему договору.</t>
  </si>
  <si>
    <t>2.1.6. Экспедитор вправе для оказания услуг по настоящему Договору, без согласования с Клиентом привлекать третьих лиц.  </t>
  </si>
  <si>
    <t>2.2. Клиент обязан:</t>
  </si>
  <si>
    <t>2.2.1. Подготовить груз к перевозке, сдать его для перевозки подписав соответствующий бланк осмотра. Для получения груза</t>
  </si>
  <si>
    <t>перед соревнованиями, передачи груза для перевозки после соревнований, получения груза после соревнований</t>
  </si>
  <si>
    <t>по возвращении в Москву, Клиент обязан предоставить Экспедитору паспорт, оригинал настоящего Договора, заполнить</t>
  </si>
  <si>
    <t>соответствующий раздел бланка осмотра. </t>
  </si>
  <si>
    <t>2.2.2. Предоставить Экспедитору оригиналы или копии документов, заверенные надлежащим образом, подтверждающие</t>
  </si>
  <si>
    <t>право собственности Клиента на Груз или право на распоряжение Грузом. Ответственность за возможные неблагоприятные</t>
  </si>
  <si>
    <t>последствия, вызванные отсутствием указанных в настоящем пункте документов, несет Клиент. В случае, если в результате</t>
  </si>
  <si>
    <t xml:space="preserve">отсутствия указанных в настоящем пункте документов, Экспедитором будут понесены какие-либо расходы, и/или к </t>
  </si>
  <si>
    <t>Экспедитору будут применены какие-либо санкции, в том числе со стороны любых государственных органов, Клиент в</t>
  </si>
  <si>
    <t>безусловном порядке обязан в срок 5 календарных дней возместить Экспедитору понесенные расходы в полном объеме.</t>
  </si>
  <si>
    <t>2.2.3. Соблюдать сроки погрузки (выгрузки) выдачи груза.</t>
  </si>
  <si>
    <t>2.2.4. Оплатить перевозку в сроки и на условиях, предусмотренных настоящим Договором.</t>
  </si>
  <si>
    <t>2.3. Груз передается и принимается Сторонами по акту приема-передачи, который подписывается сторонами при каждом</t>
  </si>
  <si>
    <t xml:space="preserve">         получении и выдаче,  в котором Стороны фиксируют дату приема-передачи и описывают Груз.</t>
  </si>
  <si>
    <t xml:space="preserve">         Комплектация и дефекты Груза (велосипеда) фиксируются видео-фото съемкой, в моменты его приема                                                         </t>
  </si>
  <si>
    <t xml:space="preserve">         Экспедитором. Дополнительная часть Груза (рюкзак) принимается к перевозке, как одно единое место,                                                                  </t>
  </si>
  <si>
    <t xml:space="preserve">         без учета комплектности содержимого, при отсутствии жестких/острых/ наружних элементов, способных</t>
  </si>
  <si>
    <t xml:space="preserve">         повредить Груз других участников и маркируется биркой с тем же номером, что и велосипед.</t>
  </si>
  <si>
    <t>Договор считается исполненным сторонами после подписания конечного раздела бланка приема-передачи Груза.                                                                        </t>
  </si>
  <si>
    <t>3. Порядок расчётов</t>
  </si>
  <si>
    <t>3.1. Стоимость услуг Экспедитора составляет:</t>
  </si>
  <si>
    <t>НДС не облагается в связи с применением Экспедитором упрощённой системы налогообложения (ст. 346.11 НК РФ).</t>
  </si>
  <si>
    <t>3.2. Оплата услуг Экспедитора производится Клиентом в размере 100 % предоплаты в момент подписания договора и</t>
  </si>
  <si>
    <t>передачи Груза (велосипеда) для перевозки.</t>
  </si>
  <si>
    <t>4. Ответственность сторон</t>
  </si>
  <si>
    <t xml:space="preserve">4.1. За неисполнение или ненадлежащее исполнение обязательств, предусмотренных настоящим Договором, Экспедитор и </t>
  </si>
  <si>
    <t>Клиент несут взаимную материальную ответственность, в соответствии с действующим законодательством РФ.</t>
  </si>
  <si>
    <t xml:space="preserve">4.3. Ни одна из Сторон не несёт ответственности за нарушение условий договора, если это вызвано обстоятельствами, </t>
  </si>
  <si>
    <t>связанными с действием непреодолимой силы, а так же любые иные события и действия вне разумного контроля Сторон.</t>
  </si>
  <si>
    <t>5. Срок и условия действия договора</t>
  </si>
  <si>
    <t>Настоящий договор вступает в силу с момента его подписания и внесения предоплаты и действует до:</t>
  </si>
  <si>
    <t>6. Расписание</t>
  </si>
  <si>
    <t>1. . Приём велосипеда в Москве на Староватутинском пр. 12 с13:</t>
  </si>
  <si>
    <t>на  территории Велотрека в Крылатском(только в указанные даты):</t>
  </si>
  <si>
    <t>         Выдача велосипеда в г. Сочи:</t>
  </si>
  <si>
    <t>  Приём велосипеда в г. Сочи:</t>
  </si>
  <si>
    <t>  Выдача велосипеда в г. Москва на Староватутинском пр. 12 с13:</t>
  </si>
  <si>
    <t>         на  территории Велотрека в Крылатском (только в указанные даты):</t>
  </si>
  <si>
    <t>6.2.  Бесплатное хранение велосипеда в г.Москва на Староватутинском пр.12 с13 до:                                                                   </t>
  </si>
  <si>
    <t xml:space="preserve"> Далее 300 руб/сутки</t>
  </si>
  <si>
    <t>7. Реквизиты сторон:      </t>
  </si>
  <si>
    <t>Экспедитор:</t>
  </si>
  <si>
    <t>Клиент:</t>
  </si>
  <si>
    <t xml:space="preserve">ФИО:  </t>
  </si>
  <si>
    <t>ОГРНИП  324774600203151</t>
  </si>
  <si>
    <t xml:space="preserve">Паспорт №:  </t>
  </si>
  <si>
    <t>БАНК: ПАО Сбербанк</t>
  </si>
  <si>
    <t>Дата выдачи: </t>
  </si>
  <si>
    <t>БИК: 044525225</t>
  </si>
  <si>
    <t>Адрес: </t>
  </si>
  <si>
    <t>Р/С: 40802810638000408667</t>
  </si>
  <si>
    <t>Телефон: </t>
  </si>
  <si>
    <t>К/С: 30101810400000000225</t>
  </si>
  <si>
    <t>Телефон: +7 9104904444                                                                          </t>
  </si>
  <si>
    <t>8. Подписи сторон</t>
  </si>
  <si>
    <t xml:space="preserve">       Акт приема-передачи  Груза</t>
  </si>
  <si>
    <t xml:space="preserve">   к Договору №</t>
  </si>
  <si>
    <t>от</t>
  </si>
  <si>
    <t>г. Москва </t>
  </si>
  <si>
    <t>«___» ____________ 2025г.</t>
  </si>
  <si>
    <t xml:space="preserve"> с одной стороны именуемый(ая) далее Клиент, и</t>
  </si>
  <si>
    <t>ИП Запрягаев Сергей ВладимировичЭкспедитор, с другой стороны, вместе именуемые Стороны, подписали настоящий Акт</t>
  </si>
  <si>
    <t>приема-передачи о нижеследующем:</t>
  </si>
  <si>
    <t>1. Клиент передает, а Экспедитор принял для перевозки  по маршруту:</t>
  </si>
  <si>
    <t>в рамках исполнения Договора перевозки, следующее имущество (далее - Груз):</t>
  </si>
  <si>
    <t>Наименование, бренд, модель</t>
  </si>
  <si>
    <t xml:space="preserve">  3. Подписав настоящий Акт приема-передачи в соответствующем разделе, Стороны подтверждают, что Экспедитор принял, а </t>
  </si>
  <si>
    <t>Клиент передал, или Экспедитор сдал, а Клиент принял имущество указанное в настоящем Акте в целях исполнения</t>
  </si>
  <si>
    <t>настоящего Договора перевозки, по графику перевозки, получения и выдачи до и после соревнований.</t>
  </si>
  <si>
    <t>  4. Настоящий Акт подписан в 2 (двух) подлинных экземплярах,  по одному для каждой из Сторон.</t>
  </si>
  <si>
    <t xml:space="preserve">Груз, в соответствии с настоящим Актом, для перевозки на старт соревнований из г. Москва в г. Сочи,  Экспедитором принят, </t>
  </si>
  <si>
    <t>произведена видео-фото фиксация комплектности и наличия дефектов велосипеда:</t>
  </si>
  <si>
    <t xml:space="preserve">                              Экспедитор ______________                                                            Клиент__________________</t>
  </si>
  <si>
    <t>Груз, в соответствии с настоящим Актом, для участия в соревнованиях в г. Сочи,  Клиентом принят:</t>
  </si>
  <si>
    <t>Груз, в соответствии с настоящим Актом, для перевозки из г. Сочи в г. Москва,  Экспедитором принят, произведена видео-фото</t>
  </si>
  <si>
    <t xml:space="preserve">фиксация комплектности и наличия дефектов велосипеда :                                                                            </t>
  </si>
  <si>
    <t xml:space="preserve"> Груз, в соответствии с настоящим Актом, после доставки из г. Сочи в г. Москва, без каких-либо повреждений, Клиентом принят. </t>
  </si>
  <si>
    <r>
      <t xml:space="preserve">Подписав настоящий Акт, Клиент подтверждает, что услуги по данному </t>
    </r>
    <r>
      <rPr>
        <b/>
        <sz val="10"/>
        <color theme="1"/>
        <rFont val="Calibri"/>
        <family val="2"/>
        <charset val="204"/>
        <scheme val="minor"/>
      </rPr>
      <t>Договору №</t>
    </r>
  </si>
  <si>
    <t>оказаны полностью в надлежащие сроки. Клиент не имеет претензий к  качеству,  оказанных услуг:</t>
  </si>
  <si>
    <t xml:space="preserve">               «___» ____________ 2025г.</t>
  </si>
  <si>
    <t>Вотинцева Светлана Дмитриевна</t>
  </si>
  <si>
    <t>Балашиха, мн Железнодорожный, ул, Маяковского, д.36, кВ 92</t>
  </si>
  <si>
    <t>timestamp</t>
  </si>
  <si>
    <t>2025-09-12T20:35:46.810522</t>
  </si>
  <si>
    <t>Поляница Никита Владимирович</t>
  </si>
  <si>
    <t>Калуга, улица Кирова д. 80, кв. 92</t>
  </si>
  <si>
    <t>2025-09-13T18:41:21.336533</t>
  </si>
  <si>
    <t>Волгина Марина Вячеславовна</t>
  </si>
  <si>
    <t>Москва, ул.Декабристов 21 - 225</t>
  </si>
  <si>
    <t>2025-09-15T09:18:14.570507</t>
  </si>
  <si>
    <t>Коробко Александр Сергеевич</t>
  </si>
  <si>
    <t>Одинцовский район село Перхушково дом 45 в</t>
  </si>
  <si>
    <t>2025-09-15T13:36:00.023652</t>
  </si>
  <si>
    <t>Панфилова Ксения Игоревна</t>
  </si>
  <si>
    <t>г. Тула ул. Радужная дом 5</t>
  </si>
  <si>
    <t>7013 449257</t>
  </si>
  <si>
    <t>2025-09-15T13:45:01.424634</t>
  </si>
  <si>
    <t>(2) Панфилова Ксения Игоревна</t>
  </si>
  <si>
    <t>+7 910 580 01 13</t>
  </si>
  <si>
    <t>г. Тула ул.Радужная дом 5</t>
  </si>
  <si>
    <t>2025-09-15T20:10:21.771735</t>
  </si>
  <si>
    <t>Юрлов Максим Валерьевич</t>
  </si>
  <si>
    <t>+7 903 624 3545</t>
  </si>
  <si>
    <t>г. Дедовск Комарова 3</t>
  </si>
  <si>
    <t>4612 915802</t>
  </si>
  <si>
    <t>2025-09-15T13:27:02.551280</t>
  </si>
  <si>
    <t>Яштылов Артем Сергеевич</t>
  </si>
  <si>
    <t>г. Москва, ул Профсоюзная 144, кв.79</t>
  </si>
  <si>
    <t>Киракосян Артур Артакович</t>
  </si>
  <si>
    <t>г.Москва, г.Зеленоград, ал. Солнечная, к.936, кв.18</t>
  </si>
  <si>
    <t>4518 146701 27.06.2017</t>
  </si>
  <si>
    <t>2025-09-16T10:44:11.538433</t>
  </si>
  <si>
    <t>Анохина Наталья Александровна</t>
  </si>
  <si>
    <t>МО, Черноголовка, институтский проспект 3-65</t>
  </si>
  <si>
    <t>4605 781225</t>
  </si>
  <si>
    <t>2025-09-17T16:14:20.625525</t>
  </si>
  <si>
    <t>Муравская ул. 42/1 кв 692</t>
  </si>
  <si>
    <t>Донцов Илья Евгеньевич</t>
  </si>
  <si>
    <t>Безнал5</t>
  </si>
  <si>
    <t>Безнал6</t>
  </si>
  <si>
    <t>Безнал2</t>
  </si>
  <si>
    <t>Безнал3</t>
  </si>
  <si>
    <t>2025-09-18T16:49:07.851671</t>
  </si>
  <si>
    <t>Рогозин Андрей Юрьевич</t>
  </si>
  <si>
    <t>г. Москва, ул. Одесская, д.14, корп.4а, кв. 108.</t>
  </si>
  <si>
    <t>(2)Гаршин Андрей Евгеньевич</t>
  </si>
  <si>
    <t>2025-09-19T16:47:44.338360</t>
  </si>
  <si>
    <t>Тарасенко Михаил Владимирович</t>
  </si>
  <si>
    <t>Ул. Жигулевская дом 6 корпус 3 квартира 35</t>
  </si>
  <si>
    <t>4515 140003, 11.06.2015</t>
  </si>
  <si>
    <t>ул. Жигулевская дом 6 корпус 3 квартира 35</t>
  </si>
  <si>
    <t>2025-09-20T13:38:28.596276</t>
  </si>
  <si>
    <t>Живов Дмитрий Викторович</t>
  </si>
  <si>
    <t>г.Москва ул.Барышиха д.44 кв.99</t>
  </si>
  <si>
    <t>(2)Тарасенко Михаил Владимирович</t>
  </si>
  <si>
    <t>Восемнадцать тысяч рублей</t>
  </si>
  <si>
    <t>(Девять тысяч рублей)</t>
  </si>
  <si>
    <t>(Двадцать тысяч рублей)</t>
  </si>
  <si>
    <t>(Девятнадцать тысяч рублей)</t>
  </si>
  <si>
    <t>(Шестьдесят тысяч рублей)</t>
  </si>
  <si>
    <t>(Восемнадцать тысяч рублей)</t>
  </si>
  <si>
    <t>2025-09-21T18:19:10.263306</t>
  </si>
  <si>
    <t>Рогов Юрий Андреевич</t>
  </si>
  <si>
    <t>8 (966) 006-00-07</t>
  </si>
  <si>
    <t>г.Москва Пятницкое шоссе д8, кв.219</t>
  </si>
  <si>
    <t>2025-09-21T18:30:40.013131</t>
  </si>
  <si>
    <t>Мамаева Мария Александровна</t>
  </si>
  <si>
    <t>г. Москва, улица Новозаводская, дом 25к6, кв 23</t>
  </si>
  <si>
    <t>2025-09-22T11:00:33.634058</t>
  </si>
  <si>
    <t>Николаева Анастасия Александровна</t>
  </si>
  <si>
    <t>г. Екатеринбург, ул Красина 5</t>
  </si>
  <si>
    <t>2025-09-22T11:40:25.492215</t>
  </si>
  <si>
    <t>Рызбаев Рустам Раисович</t>
  </si>
  <si>
    <t>Москва, Волоколамское шоссе 71к2</t>
  </si>
  <si>
    <t>5309 960853, 11.10.2010</t>
  </si>
  <si>
    <t>2025-09-22T21:16:54.866746</t>
  </si>
  <si>
    <t>Морозова Дарья Сергеевна</t>
  </si>
  <si>
    <t>Г. Дмитров, ул. Оборонная, д.6, кв. 54</t>
  </si>
  <si>
    <t>2025-09-23T10:00:35.774980</t>
  </si>
  <si>
    <t>Молчанов Андрей Викторович</t>
  </si>
  <si>
    <t>2025-09-23T10:14:32.389954</t>
  </si>
  <si>
    <t>Слабоспицкая Ольга Сергеевна</t>
  </si>
  <si>
    <t>Москва, Покрышкина 9-407</t>
  </si>
  <si>
    <t>4517999772 13.03.2017</t>
  </si>
  <si>
    <t>Шипачев Александр Викторович</t>
  </si>
  <si>
    <t>7 917 577 07 60</t>
  </si>
  <si>
    <t>г. Москва, проезд Невельского, д1.к1, кв. 9</t>
  </si>
  <si>
    <t>(Шесть тысяч рублей)</t>
  </si>
  <si>
    <t>Киркоров Алексей Николаевич</t>
  </si>
  <si>
    <t>г. Москва ул. Кастанаевская д.66 кв 459</t>
  </si>
  <si>
    <t>4.2. Дополнительное место Груза (рюкзак с экипировкой), не должно содержать предметов, запрещенных для перевозки,</t>
  </si>
  <si>
    <t>26-starovatut</t>
  </si>
  <si>
    <t>ответственность за комплектность и содержимое дополнительного места Груза.</t>
  </si>
  <si>
    <t xml:space="preserve">законодательством РФ, а так же  предметов, которые могут повредить Груз других участников. Экспедитор не несет </t>
  </si>
  <si>
    <t>    Экспедитор                                                                                                             Клиент</t>
  </si>
  <si>
    <t xml:space="preserve">  Клиент</t>
  </si>
  <si>
    <t>_____________________________________</t>
  </si>
  <si>
    <t>____________________________________</t>
  </si>
  <si>
    <t xml:space="preserve"> ИHH: 771577249548</t>
  </si>
  <si>
    <t>ИП Запрягаев Сергей Владимирович</t>
  </si>
  <si>
    <t>Адрес: г. Москва, Староватутинский проезд д.12 с13</t>
  </si>
  <si>
    <t>Овчинникова Мария Анатольевна</t>
  </si>
  <si>
    <t>Погодинская 2, кв. 164 18:16 л</t>
  </si>
  <si>
    <t>Гормолысов Владимир</t>
  </si>
  <si>
    <t>+ 7 925 122 -11- 71</t>
  </si>
  <si>
    <t>+7 918 295 - 77 -83</t>
  </si>
  <si>
    <t>2025-09-24T10:40:14.695341</t>
  </si>
  <si>
    <t>Давыдов Александр Станиславович</t>
  </si>
  <si>
    <t>г.Москва, Липецкая ул., д. 36/20, кв. 771</t>
  </si>
  <si>
    <t>4503 674806, 05.09.2002г.</t>
  </si>
  <si>
    <t>2025-09-24T11:02:00.669758</t>
  </si>
  <si>
    <t>Давыдова Дарья Николаевна</t>
  </si>
  <si>
    <t>Москва, ул. Липецкая, 36/20, 771</t>
  </si>
  <si>
    <t>2025-09-24T11:22:31.976529</t>
  </si>
  <si>
    <t>Федоров Даниил Валерьевич</t>
  </si>
  <si>
    <t>Московская область, г. Одинцово, ул. Сколковская, д. 9Б, кв. 390</t>
  </si>
  <si>
    <t>4516 579225, 24.06.2016</t>
  </si>
  <si>
    <t>2025-09-24T11:34:31.626107</t>
  </si>
  <si>
    <t>Шеметов Денис Сергеевич</t>
  </si>
  <si>
    <t>г.Севастополь пл.Пластунская к</t>
  </si>
  <si>
    <t>0914 494459 27.03.2017</t>
  </si>
  <si>
    <t>2025-09-24T12:20:02.732370</t>
  </si>
  <si>
    <t>Пугачёва Дарья Валерьевна</t>
  </si>
  <si>
    <t>Москва, Кравченко, 18, 18</t>
  </si>
  <si>
    <t>8 903 972 38 24</t>
  </si>
  <si>
    <t>8 903 751 67 16</t>
  </si>
  <si>
    <t>Каменев Олег Вадимович</t>
  </si>
  <si>
    <t>Валиуллин Адель Марсович</t>
  </si>
  <si>
    <t>г. Казань Завойского 13-156</t>
  </si>
  <si>
    <t>Фадеев Сергей Виьтальевич</t>
  </si>
  <si>
    <t>2025-09-25T13:21:28.197209</t>
  </si>
  <si>
    <t>Вон Андрей Леонтьевич</t>
  </si>
  <si>
    <t>+7 (903) 743-07-34</t>
  </si>
  <si>
    <t>2025-09-25T15:50:34.719553</t>
  </si>
  <si>
    <t>Шарапов Максим Николаевич</t>
  </si>
  <si>
    <t>г. МОсква, ул. Полосухина д. 1/28, кв. 75</t>
  </si>
  <si>
    <t>4524 285697, 26.06.2024</t>
  </si>
  <si>
    <t>2025-09-25T16:00:49.187119</t>
  </si>
  <si>
    <t>Ефимов Андрей Николаевич</t>
  </si>
  <si>
    <t>Москва, улица Коминтерна, дом 15, квартира 1233</t>
  </si>
  <si>
    <t>4.4. Сторона, для которой создалась невозможность исполнения обязательств, вызванных обстоятельствами, описанными</t>
  </si>
  <si>
    <t>в п.п. 4.3, немедленно информирует другую Сторону о наступлении вышеуказанных обстоятельств, а срок исполнения</t>
  </si>
  <si>
    <t>обязательств по настоящему Договору, отодвигается соразмерно времени их действия.</t>
  </si>
  <si>
    <t>2025-09-26T12:41:33.482114</t>
  </si>
  <si>
    <t>Шкуров Александр Николаевич</t>
  </si>
  <si>
    <t>Москва, Челюскинская, 12к1, 71</t>
  </si>
  <si>
    <t>4521 272599</t>
  </si>
  <si>
    <t>Зибик Роман Сергеевич</t>
  </si>
  <si>
    <t>Вищаненко Антон Владимирович</t>
  </si>
  <si>
    <t>г. Москва ул. Катукова д.20 к1 кв.26</t>
  </si>
  <si>
    <t>Гаврилов Антон Владимирович</t>
  </si>
  <si>
    <t>2-я Квесисская д20 к1 кв 10</t>
  </si>
  <si>
    <t>Нурутдинов Альберт Ренатович</t>
  </si>
  <si>
    <t>Москва, Бирюлевская 58к3</t>
  </si>
  <si>
    <t>Скакун Иван Олегович</t>
  </si>
  <si>
    <t>г. Королев ул. Халтурина д.20</t>
  </si>
  <si>
    <t>Маслова Анастасия Владимировна</t>
  </si>
  <si>
    <t>Московская область, г. Дмитров, ул. Сиреневая, д. 6, кв 181</t>
  </si>
  <si>
    <t>2025-09-26T16:23:19.440096</t>
  </si>
  <si>
    <t>Бондарь Александр Витальевич</t>
  </si>
  <si>
    <t>Архангельская обл, г мирный, ул советская д 8 кВ 191</t>
  </si>
  <si>
    <t>1104280003 14.09.2005</t>
  </si>
  <si>
    <t>г.Москва Родченко, д. 2, кв. 940</t>
  </si>
  <si>
    <t>(Девять тысяч пятьсот рублей)</t>
  </si>
  <si>
    <t>Глаголев Алексей Дмитриевич</t>
  </si>
  <si>
    <t>МО. Г. Химки, ул. Зеленая, д.15к21</t>
  </si>
  <si>
    <t>Ерицов Андрей Маркелович</t>
  </si>
  <si>
    <t>Московская обл. г.Пушкино, ул. Озерная д.11, корп 2, кв.52</t>
  </si>
  <si>
    <t>Бродников Михаил Владимирович</t>
  </si>
  <si>
    <t>8964 553 45 58</t>
  </si>
  <si>
    <t>г. Москва, Широкая ул. Д 13к4 кв95</t>
  </si>
  <si>
    <t>2025-09-28T19:00:29.437038</t>
  </si>
  <si>
    <t>Клявин Владимир Алексеевич</t>
  </si>
  <si>
    <t>г. Москва, Куркинское шоссе, д. 17, кв. 63</t>
  </si>
  <si>
    <t>4510380777, 07.10.2009</t>
  </si>
  <si>
    <t>2025-09-28T19:16:22.124858</t>
  </si>
  <si>
    <t>Погорельцев Дмитрий Дмитриевич</t>
  </si>
  <si>
    <t>Красногорск, Ильинское-Усова, Заповедная 13</t>
  </si>
  <si>
    <t>Колядин Михаил Сергеевич</t>
  </si>
  <si>
    <t>8 926 503 15 60</t>
  </si>
  <si>
    <t>г. Москва, ул. Авиаторов, д.2 , кв 5</t>
  </si>
  <si>
    <t>2025-09-28T21:01:55.793055</t>
  </si>
  <si>
    <t>Быстров Антон Юрьевич</t>
  </si>
  <si>
    <t>Г. Москва, ул. Штурвальная, дом 10, корп. 1, кв. 90</t>
  </si>
  <si>
    <t>4510 754165 22.09.2010</t>
  </si>
  <si>
    <t>2025-09-28T19:36:55.897740</t>
  </si>
  <si>
    <t>Суслин Андрей Владимирович</t>
  </si>
  <si>
    <t>Мытищи, Ул.Шараповская д.2 корп.3 кв.34</t>
  </si>
  <si>
    <t>45 11 283936 23.11.2011</t>
  </si>
  <si>
    <t>2025-09-28T19:32:04.052910</t>
  </si>
  <si>
    <t>Халмухамедов Валентин Александрович</t>
  </si>
  <si>
    <t>Г. Москва, ул. Маршала Катукова д 24 к 4 кв 90</t>
  </si>
  <si>
    <t>4509672104 17.07.2008</t>
  </si>
  <si>
    <t>2025-09-28T21:27:36.401858</t>
  </si>
  <si>
    <t>Кортиков Евгений Александрович</t>
  </si>
  <si>
    <t>Кашутина Елизавета Максимовна</t>
  </si>
  <si>
    <t>8 919 828 87 34</t>
  </si>
  <si>
    <t>Филевская 6к2</t>
  </si>
  <si>
    <t>2025-09-28T22:41:19.519461</t>
  </si>
  <si>
    <t>Осипов Ярослав Владимирович</t>
  </si>
  <si>
    <t>Позже</t>
  </si>
  <si>
    <t>Жиленков Павел Александрович</t>
  </si>
  <si>
    <t>г. Москва, Рублевское шоссе, д20к1 кв 58</t>
  </si>
  <si>
    <t>Галанин Михаил</t>
  </si>
  <si>
    <t>Агафонова Наталья Максимовна</t>
  </si>
  <si>
    <t>8 905 786 58 58</t>
  </si>
  <si>
    <t>г. Москва, ул. Профсоюзная, д.118к2, кв 53</t>
  </si>
  <si>
    <t>д. сдачи</t>
  </si>
  <si>
    <t>?</t>
  </si>
  <si>
    <t>г. Москва, Староватутинский проезд д.12 с13</t>
  </si>
  <si>
    <t>крыло/стар</t>
  </si>
  <si>
    <t>2025-10-24T16:42:38.469124</t>
  </si>
  <si>
    <t>Николай</t>
  </si>
  <si>
    <t>Адрес регистрации</t>
  </si>
  <si>
    <t>Серия паспорта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</si>
</sst>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₽&quot;_-;\-* #,##0\ &quot;₽&quot;_-;_-* &quot;-&quot;\ &quot;₽&quot;_-;_-@_-"/>
    <numFmt numFmtId="164" formatCode="dd/mm/yy\ h:mm;@"/>
    <numFmt numFmtId="165" formatCode="[$-F800]dddd\,\ mmmm\ dd\,\ yyyy"/>
    <numFmt numFmtId="166" formatCode="000000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9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9"/>
      <color rgb="FF999999"/>
      <name val="Arial"/>
      <family val="2"/>
      <charset val="204"/>
    </font>
    <font>
      <sz val="11"/>
      <color rgb="FF999999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rgb="FFC77DBB"/>
      <name val="JetBrains Mono"/>
      <family val="3"/>
    </font>
    <font>
      <b/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u/>
      <sz val="10"/>
      <color theme="5" tint="-0.499984740745262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rgb="FF000000"/>
      <name val="Calibri"/>
      <family val="2"/>
      <charset val="204"/>
      <scheme val="minor"/>
    </font>
    <font>
      <u/>
      <sz val="10"/>
      <color theme="1"/>
      <name val="Calibri"/>
      <family val="2"/>
      <charset val="204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Tahoma"/>
      <family val="2"/>
      <charset val="204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3E4EB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3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3" fillId="0" borderId="0"/>
    <xf numFmtId="0" fontId="3" fillId="0" borderId="0"/>
    <xf numFmtId="0" fontId="1" fillId="0" borderId="0"/>
  </cellStyleXfs>
  <cellXfs count="348">
    <xf numFmtId="0" fontId="0" fillId="0" borderId="0" xfId="0"/>
    <xf numFmtId="0" fontId="5" fillId="2" borderId="1" xfId="1" applyFont="1" applyFill="1" applyBorder="1" applyAlignment="1">
      <alignment horizontal="center" wrapText="1"/>
    </xf>
    <xf numFmtId="0" fontId="6" fillId="3" borderId="2" xfId="1" applyFont="1" applyFill="1" applyBorder="1" applyAlignment="1">
      <alignment horizontal="center" wrapText="1"/>
    </xf>
    <xf numFmtId="0" fontId="7" fillId="0" borderId="3" xfId="1" applyFont="1" applyBorder="1" applyAlignment="1">
      <alignment vertical="center" wrapText="1"/>
    </xf>
    <xf numFmtId="0" fontId="3" fillId="0" borderId="0" xfId="1"/>
    <xf numFmtId="0" fontId="8" fillId="4" borderId="4" xfId="1" applyFont="1" applyFill="1" applyBorder="1" applyAlignment="1">
      <alignment wrapText="1"/>
    </xf>
    <xf numFmtId="0" fontId="9" fillId="0" borderId="5" xfId="1" applyFont="1" applyBorder="1" applyAlignment="1">
      <alignment horizontal="center" wrapText="1"/>
    </xf>
    <xf numFmtId="0" fontId="10" fillId="0" borderId="5" xfId="1" applyFont="1" applyBorder="1" applyAlignment="1">
      <alignment wrapText="1"/>
    </xf>
    <xf numFmtId="0" fontId="7" fillId="0" borderId="6" xfId="1" applyFont="1" applyBorder="1" applyAlignment="1">
      <alignment vertical="center" wrapText="1"/>
    </xf>
    <xf numFmtId="0" fontId="11" fillId="4" borderId="4" xfId="1" applyFont="1" applyFill="1" applyBorder="1" applyAlignment="1">
      <alignment wrapText="1"/>
    </xf>
    <xf numFmtId="14" fontId="9" fillId="0" borderId="5" xfId="1" applyNumberFormat="1" applyFont="1" applyBorder="1" applyAlignment="1">
      <alignment horizontal="center" wrapText="1"/>
    </xf>
    <xf numFmtId="0" fontId="7" fillId="0" borderId="7" xfId="1" applyFont="1" applyBorder="1" applyAlignment="1">
      <alignment vertical="center" wrapText="1"/>
    </xf>
    <xf numFmtId="0" fontId="12" fillId="4" borderId="4" xfId="1" applyFont="1" applyFill="1" applyBorder="1" applyAlignment="1">
      <alignment wrapText="1"/>
    </xf>
    <xf numFmtId="0" fontId="13" fillId="0" borderId="5" xfId="1" applyFont="1" applyBorder="1" applyAlignment="1">
      <alignment horizontal="center" wrapText="1"/>
    </xf>
    <xf numFmtId="0" fontId="5" fillId="4" borderId="4" xfId="1" applyFont="1" applyFill="1" applyBorder="1" applyAlignment="1">
      <alignment horizontal="left" wrapText="1"/>
    </xf>
    <xf numFmtId="0" fontId="5" fillId="0" borderId="5" xfId="1" applyFont="1" applyBorder="1" applyAlignment="1">
      <alignment horizontal="left" wrapText="1"/>
    </xf>
    <xf numFmtId="0" fontId="7" fillId="0" borderId="3" xfId="1" applyFont="1" applyBorder="1" applyAlignment="1">
      <alignment horizontal="left" vertical="center" wrapText="1"/>
    </xf>
    <xf numFmtId="0" fontId="3" fillId="0" borderId="0" xfId="1" applyAlignment="1">
      <alignment horizontal="left"/>
    </xf>
    <xf numFmtId="0" fontId="8" fillId="5" borderId="4" xfId="1" applyFont="1" applyFill="1" applyBorder="1" applyAlignment="1">
      <alignment wrapText="1"/>
    </xf>
    <xf numFmtId="0" fontId="4" fillId="5" borderId="5" xfId="1" applyFont="1" applyFill="1" applyBorder="1" applyAlignment="1">
      <alignment horizontal="center" wrapText="1"/>
    </xf>
    <xf numFmtId="0" fontId="9" fillId="5" borderId="5" xfId="1" applyFont="1" applyFill="1" applyBorder="1" applyAlignment="1">
      <alignment wrapText="1"/>
    </xf>
    <xf numFmtId="0" fontId="8" fillId="6" borderId="4" xfId="1" applyFont="1" applyFill="1" applyBorder="1" applyAlignment="1">
      <alignment wrapText="1"/>
    </xf>
    <xf numFmtId="0" fontId="4" fillId="6" borderId="5" xfId="1" applyFont="1" applyFill="1" applyBorder="1" applyAlignment="1">
      <alignment horizontal="center" wrapText="1"/>
    </xf>
    <xf numFmtId="0" fontId="8" fillId="7" borderId="4" xfId="1" applyFont="1" applyFill="1" applyBorder="1" applyAlignment="1">
      <alignment wrapText="1"/>
    </xf>
    <xf numFmtId="0" fontId="4" fillId="7" borderId="5" xfId="1" applyFont="1" applyFill="1" applyBorder="1" applyAlignment="1">
      <alignment horizontal="center" wrapText="1"/>
    </xf>
    <xf numFmtId="0" fontId="8" fillId="8" borderId="4" xfId="1" applyFont="1" applyFill="1" applyBorder="1" applyAlignment="1">
      <alignment wrapText="1"/>
    </xf>
    <xf numFmtId="0" fontId="4" fillId="8" borderId="5" xfId="1" applyFont="1" applyFill="1" applyBorder="1" applyAlignment="1">
      <alignment horizontal="center" wrapText="1"/>
    </xf>
    <xf numFmtId="0" fontId="8" fillId="9" borderId="4" xfId="1" applyFont="1" applyFill="1" applyBorder="1" applyAlignment="1">
      <alignment wrapText="1"/>
    </xf>
    <xf numFmtId="0" fontId="4" fillId="9" borderId="5" xfId="1" applyFont="1" applyFill="1" applyBorder="1" applyAlignment="1">
      <alignment horizontal="center" wrapText="1"/>
    </xf>
    <xf numFmtId="0" fontId="11" fillId="10" borderId="4" xfId="1" applyFont="1" applyFill="1" applyBorder="1" applyAlignment="1">
      <alignment wrapText="1"/>
    </xf>
    <xf numFmtId="14" fontId="9" fillId="10" borderId="5" xfId="1" applyNumberFormat="1" applyFont="1" applyFill="1" applyBorder="1" applyAlignment="1">
      <alignment horizontal="center" wrapText="1"/>
    </xf>
    <xf numFmtId="0" fontId="7" fillId="4" borderId="8" xfId="1" applyFont="1" applyFill="1" applyBorder="1" applyAlignment="1">
      <alignment wrapText="1"/>
    </xf>
    <xf numFmtId="0" fontId="7" fillId="0" borderId="9" xfId="1" applyFont="1" applyBorder="1" applyAlignment="1">
      <alignment wrapText="1"/>
    </xf>
    <xf numFmtId="0" fontId="16" fillId="0" borderId="0" xfId="0" applyFont="1" applyAlignment="1">
      <alignment vertical="center"/>
    </xf>
    <xf numFmtId="0" fontId="17" fillId="2" borderId="12" xfId="0" applyFont="1" applyFill="1" applyBorder="1" applyAlignment="1">
      <alignment horizontal="center"/>
    </xf>
    <xf numFmtId="0" fontId="0" fillId="0" borderId="11" xfId="0" applyBorder="1"/>
    <xf numFmtId="0" fontId="2" fillId="0" borderId="0" xfId="2" applyFont="1"/>
    <xf numFmtId="0" fontId="17" fillId="13" borderId="12" xfId="2" applyFont="1" applyFill="1" applyBorder="1" applyAlignment="1">
      <alignment horizontal="center"/>
    </xf>
    <xf numFmtId="0" fontId="15" fillId="13" borderId="12" xfId="2" applyFont="1" applyFill="1" applyBorder="1" applyAlignment="1">
      <alignment horizontal="center"/>
    </xf>
    <xf numFmtId="0" fontId="18" fillId="13" borderId="12" xfId="2" applyFont="1" applyFill="1" applyBorder="1" applyAlignment="1">
      <alignment horizontal="center"/>
    </xf>
    <xf numFmtId="0" fontId="19" fillId="13" borderId="12" xfId="2" applyFont="1" applyFill="1" applyBorder="1" applyAlignment="1">
      <alignment horizontal="center"/>
    </xf>
    <xf numFmtId="0" fontId="18" fillId="13" borderId="10" xfId="2" applyFont="1" applyFill="1" applyBorder="1" applyAlignment="1">
      <alignment horizontal="center"/>
    </xf>
    <xf numFmtId="0" fontId="20" fillId="13" borderId="10" xfId="2" applyFont="1" applyFill="1" applyBorder="1" applyAlignment="1">
      <alignment horizontal="center"/>
    </xf>
    <xf numFmtId="0" fontId="18" fillId="13" borderId="12" xfId="2" applyFont="1" applyFill="1" applyBorder="1" applyAlignment="1">
      <alignment horizontal="left"/>
    </xf>
    <xf numFmtId="0" fontId="17" fillId="13" borderId="10" xfId="2" applyFont="1" applyFill="1" applyBorder="1"/>
    <xf numFmtId="0" fontId="2" fillId="11" borderId="11" xfId="2" applyFont="1" applyFill="1" applyBorder="1" applyAlignment="1">
      <alignment horizontal="center"/>
    </xf>
    <xf numFmtId="22" fontId="21" fillId="11" borderId="11" xfId="2" applyNumberFormat="1" applyFont="1" applyFill="1" applyBorder="1" applyAlignment="1">
      <alignment horizontal="center"/>
    </xf>
    <xf numFmtId="0" fontId="14" fillId="11" borderId="11" xfId="2" applyFont="1" applyFill="1" applyBorder="1"/>
    <xf numFmtId="0" fontId="22" fillId="11" borderId="11" xfId="2" applyFont="1" applyFill="1" applyBorder="1" applyAlignment="1">
      <alignment horizontal="center"/>
    </xf>
    <xf numFmtId="0" fontId="21" fillId="11" borderId="11" xfId="2" applyFont="1" applyFill="1" applyBorder="1"/>
    <xf numFmtId="0" fontId="22" fillId="11" borderId="0" xfId="2" applyFont="1" applyFill="1"/>
    <xf numFmtId="0" fontId="2" fillId="11" borderId="11" xfId="2" applyFont="1" applyFill="1" applyBorder="1"/>
    <xf numFmtId="0" fontId="2" fillId="11" borderId="0" xfId="2" applyFont="1" applyFill="1" applyAlignment="1">
      <alignment horizontal="center"/>
    </xf>
    <xf numFmtId="0" fontId="22" fillId="11" borderId="0" xfId="2" applyFont="1" applyFill="1" applyAlignment="1">
      <alignment horizontal="center"/>
    </xf>
    <xf numFmtId="0" fontId="22" fillId="11" borderId="11" xfId="2" applyFont="1" applyFill="1" applyBorder="1"/>
    <xf numFmtId="0" fontId="2" fillId="7" borderId="11" xfId="2" applyFont="1" applyFill="1" applyBorder="1" applyAlignment="1">
      <alignment horizontal="center"/>
    </xf>
    <xf numFmtId="22" fontId="21" fillId="7" borderId="11" xfId="2" applyNumberFormat="1" applyFont="1" applyFill="1" applyBorder="1" applyAlignment="1">
      <alignment horizontal="center"/>
    </xf>
    <xf numFmtId="0" fontId="14" fillId="7" borderId="11" xfId="2" applyFont="1" applyFill="1" applyBorder="1"/>
    <xf numFmtId="0" fontId="22" fillId="7" borderId="11" xfId="2" applyFont="1" applyFill="1" applyBorder="1" applyAlignment="1">
      <alignment horizontal="center"/>
    </xf>
    <xf numFmtId="0" fontId="21" fillId="7" borderId="11" xfId="2" applyFont="1" applyFill="1" applyBorder="1"/>
    <xf numFmtId="0" fontId="22" fillId="7" borderId="0" xfId="2" applyFont="1" applyFill="1"/>
    <xf numFmtId="0" fontId="2" fillId="7" borderId="11" xfId="2" applyFont="1" applyFill="1" applyBorder="1"/>
    <xf numFmtId="0" fontId="2" fillId="7" borderId="0" xfId="2" applyFont="1" applyFill="1" applyAlignment="1">
      <alignment horizontal="center"/>
    </xf>
    <xf numFmtId="0" fontId="22" fillId="7" borderId="0" xfId="2" applyFont="1" applyFill="1" applyAlignment="1">
      <alignment horizontal="center"/>
    </xf>
    <xf numFmtId="0" fontId="22" fillId="7" borderId="11" xfId="2" applyFont="1" applyFill="1" applyBorder="1"/>
    <xf numFmtId="0" fontId="21" fillId="11" borderId="11" xfId="2" applyFont="1" applyFill="1" applyBorder="1" applyAlignment="1">
      <alignment horizontal="center"/>
    </xf>
    <xf numFmtId="49" fontId="22" fillId="11" borderId="11" xfId="2" applyNumberFormat="1" applyFont="1" applyFill="1" applyBorder="1" applyAlignment="1">
      <alignment horizontal="center"/>
    </xf>
    <xf numFmtId="0" fontId="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14" fillId="0" borderId="11" xfId="2" applyFont="1" applyBorder="1"/>
    <xf numFmtId="0" fontId="22" fillId="0" borderId="11" xfId="2" applyFont="1" applyBorder="1" applyAlignment="1">
      <alignment horizontal="center"/>
    </xf>
    <xf numFmtId="0" fontId="22" fillId="0" borderId="0" xfId="2" applyFont="1"/>
    <xf numFmtId="0" fontId="2" fillId="0" borderId="11" xfId="2" applyFont="1" applyBorder="1"/>
    <xf numFmtId="0" fontId="2" fillId="0" borderId="0" xfId="2" applyFont="1" applyAlignment="1">
      <alignment horizontal="center"/>
    </xf>
    <xf numFmtId="0" fontId="22" fillId="0" borderId="0" xfId="2" applyFont="1" applyAlignment="1">
      <alignment horizontal="center"/>
    </xf>
    <xf numFmtId="0" fontId="22" fillId="0" borderId="11" xfId="2" applyFont="1" applyBorder="1"/>
    <xf numFmtId="0" fontId="2" fillId="12" borderId="11" xfId="2" applyFont="1" applyFill="1" applyBorder="1" applyAlignment="1">
      <alignment horizontal="center"/>
    </xf>
    <xf numFmtId="0" fontId="21" fillId="12" borderId="11" xfId="2" applyFont="1" applyFill="1" applyBorder="1" applyAlignment="1">
      <alignment horizontal="center"/>
    </xf>
    <xf numFmtId="0" fontId="14" fillId="12" borderId="11" xfId="2" applyFont="1" applyFill="1" applyBorder="1"/>
    <xf numFmtId="49" fontId="22" fillId="12" borderId="11" xfId="2" applyNumberFormat="1" applyFont="1" applyFill="1" applyBorder="1" applyAlignment="1">
      <alignment horizontal="center"/>
    </xf>
    <xf numFmtId="0" fontId="22" fillId="12" borderId="0" xfId="2" applyFont="1" applyFill="1"/>
    <xf numFmtId="0" fontId="2" fillId="12" borderId="11" xfId="2" applyFont="1" applyFill="1" applyBorder="1"/>
    <xf numFmtId="0" fontId="2" fillId="12" borderId="0" xfId="2" applyFont="1" applyFill="1" applyAlignment="1">
      <alignment horizontal="center"/>
    </xf>
    <xf numFmtId="0" fontId="22" fillId="12" borderId="0" xfId="2" applyFont="1" applyFill="1" applyAlignment="1">
      <alignment horizontal="center"/>
    </xf>
    <xf numFmtId="0" fontId="22" fillId="12" borderId="11" xfId="2" applyFont="1" applyFill="1" applyBorder="1"/>
    <xf numFmtId="49" fontId="22" fillId="11" borderId="11" xfId="2" quotePrefix="1" applyNumberFormat="1" applyFont="1" applyFill="1" applyBorder="1" applyAlignment="1">
      <alignment horizontal="center"/>
    </xf>
    <xf numFmtId="0" fontId="22" fillId="12" borderId="11" xfId="2" applyFont="1" applyFill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5" fillId="11" borderId="12" xfId="2" applyFont="1" applyFill="1" applyBorder="1" applyAlignment="1">
      <alignment horizontal="center"/>
    </xf>
    <xf numFmtId="0" fontId="21" fillId="7" borderId="11" xfId="2" applyFont="1" applyFill="1" applyBorder="1" applyAlignment="1">
      <alignment horizontal="center"/>
    </xf>
    <xf numFmtId="0" fontId="21" fillId="5" borderId="11" xfId="2" applyFont="1" applyFill="1" applyBorder="1" applyAlignment="1">
      <alignment horizontal="center"/>
    </xf>
    <xf numFmtId="0" fontId="18" fillId="14" borderId="12" xfId="2" applyFont="1" applyFill="1" applyBorder="1"/>
    <xf numFmtId="0" fontId="0" fillId="0" borderId="11" xfId="0" applyBorder="1" applyAlignment="1">
      <alignment horizontal="center"/>
    </xf>
    <xf numFmtId="0" fontId="0" fillId="15" borderId="11" xfId="0" applyFill="1" applyBorder="1"/>
    <xf numFmtId="0" fontId="0" fillId="5" borderId="11" xfId="0" applyFill="1" applyBorder="1"/>
    <xf numFmtId="0" fontId="17" fillId="2" borderId="14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5" borderId="16" xfId="0" applyFill="1" applyBorder="1"/>
    <xf numFmtId="0" fontId="0" fillId="5" borderId="18" xfId="0" applyFill="1" applyBorder="1"/>
    <xf numFmtId="0" fontId="0" fillId="15" borderId="18" xfId="0" applyFill="1" applyBorder="1"/>
    <xf numFmtId="0" fontId="0" fillId="15" borderId="16" xfId="0" applyFill="1" applyBorder="1"/>
    <xf numFmtId="0" fontId="14" fillId="0" borderId="0" xfId="4" applyFont="1"/>
    <xf numFmtId="0" fontId="14" fillId="0" borderId="0" xfId="4" applyFont="1" applyAlignment="1">
      <alignment horizontal="center"/>
    </xf>
    <xf numFmtId="0" fontId="1" fillId="0" borderId="0" xfId="4"/>
    <xf numFmtId="0" fontId="23" fillId="0" borderId="0" xfId="4" applyFont="1"/>
    <xf numFmtId="0" fontId="24" fillId="0" borderId="0" xfId="4" applyFont="1"/>
    <xf numFmtId="0" fontId="24" fillId="0" borderId="0" xfId="4" applyFont="1" applyAlignment="1">
      <alignment horizontal="left"/>
    </xf>
    <xf numFmtId="0" fontId="15" fillId="0" borderId="0" xfId="4" applyFont="1"/>
    <xf numFmtId="165" fontId="25" fillId="0" borderId="0" xfId="4" applyNumberFormat="1" applyFont="1" applyAlignment="1">
      <alignment horizontal="center"/>
    </xf>
    <xf numFmtId="14" fontId="14" fillId="0" borderId="0" xfId="4" applyNumberFormat="1" applyFont="1"/>
    <xf numFmtId="0" fontId="26" fillId="0" borderId="0" xfId="4" applyFont="1"/>
    <xf numFmtId="42" fontId="14" fillId="0" borderId="0" xfId="4" applyNumberFormat="1" applyFont="1" applyAlignment="1">
      <alignment horizontal="center"/>
    </xf>
    <xf numFmtId="16" fontId="14" fillId="0" borderId="0" xfId="4" applyNumberFormat="1" applyFont="1"/>
    <xf numFmtId="14" fontId="14" fillId="0" borderId="0" xfId="4" applyNumberFormat="1" applyFont="1" applyAlignment="1">
      <alignment horizontal="left"/>
    </xf>
    <xf numFmtId="0" fontId="14" fillId="5" borderId="0" xfId="4" applyFont="1" applyFill="1"/>
    <xf numFmtId="0" fontId="14" fillId="6" borderId="0" xfId="4" applyFont="1" applyFill="1"/>
    <xf numFmtId="0" fontId="14" fillId="11" borderId="0" xfId="4" applyFont="1" applyFill="1"/>
    <xf numFmtId="0" fontId="14" fillId="12" borderId="0" xfId="4" applyFont="1" applyFill="1"/>
    <xf numFmtId="14" fontId="15" fillId="0" borderId="0" xfId="4" applyNumberFormat="1" applyFont="1" applyAlignment="1">
      <alignment horizontal="left"/>
    </xf>
    <xf numFmtId="0" fontId="24" fillId="0" borderId="0" xfId="4" applyFont="1" applyAlignment="1">
      <alignment horizontal="center"/>
    </xf>
    <xf numFmtId="165" fontId="14" fillId="0" borderId="0" xfId="4" applyNumberFormat="1" applyFont="1"/>
    <xf numFmtId="165" fontId="15" fillId="0" borderId="0" xfId="4" applyNumberFormat="1" applyFont="1" applyAlignment="1">
      <alignment horizontal="right"/>
    </xf>
    <xf numFmtId="165" fontId="15" fillId="0" borderId="0" xfId="4" applyNumberFormat="1" applyFont="1"/>
    <xf numFmtId="0" fontId="14" fillId="0" borderId="21" xfId="4" applyFont="1" applyBorder="1"/>
    <xf numFmtId="0" fontId="14" fillId="0" borderId="22" xfId="4" applyFont="1" applyBorder="1"/>
    <xf numFmtId="0" fontId="14" fillId="0" borderId="23" xfId="4" applyFont="1" applyBorder="1"/>
    <xf numFmtId="0" fontId="14" fillId="0" borderId="16" xfId="4" applyFont="1" applyBorder="1" applyAlignment="1">
      <alignment horizontal="center"/>
    </xf>
    <xf numFmtId="0" fontId="14" fillId="0" borderId="24" xfId="4" applyFont="1" applyBorder="1"/>
    <xf numFmtId="0" fontId="14" fillId="0" borderId="15" xfId="4" applyFont="1" applyBorder="1"/>
    <xf numFmtId="0" fontId="14" fillId="0" borderId="20" xfId="4" applyFont="1" applyBorder="1" applyAlignment="1">
      <alignment horizontal="center"/>
    </xf>
    <xf numFmtId="0" fontId="14" fillId="0" borderId="25" xfId="4" applyFont="1" applyBorder="1"/>
    <xf numFmtId="0" fontId="14" fillId="0" borderId="19" xfId="4" applyFont="1" applyBorder="1"/>
    <xf numFmtId="0" fontId="15" fillId="0" borderId="0" xfId="4" applyFont="1" applyAlignment="1">
      <alignment horizontal="center"/>
    </xf>
    <xf numFmtId="0" fontId="17" fillId="2" borderId="27" xfId="0" applyFont="1" applyFill="1" applyBorder="1" applyAlignment="1">
      <alignment horizontal="center"/>
    </xf>
    <xf numFmtId="0" fontId="0" fillId="0" borderId="26" xfId="0" applyBorder="1"/>
    <xf numFmtId="0" fontId="0" fillId="8" borderId="17" xfId="0" applyFill="1" applyBorder="1" applyAlignment="1">
      <alignment horizontal="center"/>
    </xf>
    <xf numFmtId="164" fontId="0" fillId="8" borderId="18" xfId="0" applyNumberFormat="1" applyFill="1" applyBorder="1" applyAlignment="1">
      <alignment horizontal="center"/>
    </xf>
    <xf numFmtId="0" fontId="0" fillId="8" borderId="28" xfId="0" applyFill="1" applyBorder="1"/>
    <xf numFmtId="0" fontId="0" fillId="8" borderId="18" xfId="0" applyFill="1" applyBorder="1" applyAlignment="1">
      <alignment horizontal="center"/>
    </xf>
    <xf numFmtId="0" fontId="0" fillId="8" borderId="18" xfId="0" applyFill="1" applyBorder="1"/>
    <xf numFmtId="0" fontId="0" fillId="8" borderId="15" xfId="0" applyFill="1" applyBorder="1" applyAlignment="1">
      <alignment horizontal="center"/>
    </xf>
    <xf numFmtId="164" fontId="0" fillId="8" borderId="16" xfId="0" applyNumberFormat="1" applyFill="1" applyBorder="1" applyAlignment="1">
      <alignment horizontal="center"/>
    </xf>
    <xf numFmtId="0" fontId="0" fillId="8" borderId="29" xfId="0" applyFill="1" applyBorder="1"/>
    <xf numFmtId="0" fontId="0" fillId="8" borderId="16" xfId="0" applyFill="1" applyBorder="1" applyAlignment="1">
      <alignment horizontal="center"/>
    </xf>
    <xf numFmtId="0" fontId="0" fillId="8" borderId="16" xfId="0" applyFill="1" applyBorder="1"/>
    <xf numFmtId="0" fontId="0" fillId="8" borderId="13" xfId="0" applyFill="1" applyBorder="1" applyAlignment="1">
      <alignment horizontal="center"/>
    </xf>
    <xf numFmtId="0" fontId="0" fillId="8" borderId="26" xfId="0" applyFill="1" applyBorder="1"/>
    <xf numFmtId="0" fontId="0" fillId="8" borderId="11" xfId="0" applyFill="1" applyBorder="1" applyAlignment="1">
      <alignment horizontal="center"/>
    </xf>
    <xf numFmtId="0" fontId="0" fillId="8" borderId="11" xfId="0" applyFill="1" applyBorder="1"/>
    <xf numFmtId="166" fontId="14" fillId="0" borderId="0" xfId="4" applyNumberFormat="1" applyFont="1"/>
    <xf numFmtId="0" fontId="24" fillId="16" borderId="10" xfId="0" applyFont="1" applyFill="1" applyBorder="1" applyAlignment="1">
      <alignment horizontal="center"/>
    </xf>
    <xf numFmtId="0" fontId="0" fillId="8" borderId="17" xfId="0" applyFill="1" applyBorder="1" applyAlignment="1">
      <alignment horizontal="left"/>
    </xf>
    <xf numFmtId="49" fontId="0" fillId="8" borderId="28" xfId="0" applyNumberFormat="1" applyFill="1" applyBorder="1"/>
    <xf numFmtId="164" fontId="0" fillId="5" borderId="18" xfId="0" applyNumberFormat="1" applyFill="1" applyBorder="1" applyAlignment="1">
      <alignment horizontal="center"/>
    </xf>
    <xf numFmtId="164" fontId="0" fillId="5" borderId="16" xfId="0" applyNumberFormat="1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28" xfId="0" applyFill="1" applyBorder="1"/>
    <xf numFmtId="0" fontId="0" fillId="17" borderId="18" xfId="0" applyFill="1" applyBorder="1" applyAlignment="1">
      <alignment horizontal="center"/>
    </xf>
    <xf numFmtId="0" fontId="0" fillId="17" borderId="18" xfId="0" applyFill="1" applyBorder="1"/>
    <xf numFmtId="0" fontId="0" fillId="17" borderId="15" xfId="0" applyFill="1" applyBorder="1" applyAlignment="1">
      <alignment horizontal="center"/>
    </xf>
    <xf numFmtId="164" fontId="0" fillId="17" borderId="16" xfId="0" applyNumberFormat="1" applyFill="1" applyBorder="1" applyAlignment="1">
      <alignment horizontal="center"/>
    </xf>
    <xf numFmtId="0" fontId="0" fillId="17" borderId="29" xfId="0" applyFill="1" applyBorder="1"/>
    <xf numFmtId="0" fontId="0" fillId="17" borderId="16" xfId="0" applyFill="1" applyBorder="1" applyAlignment="1">
      <alignment horizontal="center"/>
    </xf>
    <xf numFmtId="0" fontId="0" fillId="17" borderId="16" xfId="0" applyFill="1" applyBorder="1"/>
    <xf numFmtId="0" fontId="0" fillId="17" borderId="13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0" xfId="0" applyFill="1"/>
    <xf numFmtId="0" fontId="0" fillId="17" borderId="26" xfId="0" applyFill="1" applyBorder="1"/>
    <xf numFmtId="0" fontId="0" fillId="17" borderId="11" xfId="0" applyFill="1" applyBorder="1"/>
    <xf numFmtId="0" fontId="0" fillId="18" borderId="13" xfId="0" applyFill="1" applyBorder="1" applyAlignment="1">
      <alignment horizontal="center"/>
    </xf>
    <xf numFmtId="0" fontId="0" fillId="18" borderId="11" xfId="0" applyFill="1" applyBorder="1" applyAlignment="1">
      <alignment horizontal="center"/>
    </xf>
    <xf numFmtId="0" fontId="0" fillId="18" borderId="26" xfId="0" applyFill="1" applyBorder="1"/>
    <xf numFmtId="0" fontId="0" fillId="18" borderId="11" xfId="0" applyFill="1" applyBorder="1"/>
    <xf numFmtId="3" fontId="0" fillId="0" borderId="11" xfId="0" applyNumberFormat="1" applyBorder="1"/>
    <xf numFmtId="3" fontId="0" fillId="0" borderId="26" xfId="0" applyNumberFormat="1" applyBorder="1"/>
    <xf numFmtId="0" fontId="17" fillId="10" borderId="12" xfId="0" applyFont="1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17" fillId="2" borderId="27" xfId="0" applyFont="1" applyFill="1" applyBorder="1" applyAlignment="1">
      <alignment horizontal="left"/>
    </xf>
    <xf numFmtId="0" fontId="0" fillId="8" borderId="29" xfId="0" applyFill="1" applyBorder="1" applyAlignment="1">
      <alignment horizontal="left"/>
    </xf>
    <xf numFmtId="0" fontId="0" fillId="8" borderId="26" xfId="0" applyFill="1" applyBorder="1" applyAlignment="1">
      <alignment horizontal="left"/>
    </xf>
    <xf numFmtId="0" fontId="0" fillId="8" borderId="28" xfId="0" applyFill="1" applyBorder="1" applyAlignment="1">
      <alignment horizontal="left"/>
    </xf>
    <xf numFmtId="0" fontId="0" fillId="17" borderId="26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0" borderId="26" xfId="0" applyBorder="1" applyAlignment="1">
      <alignment horizontal="left"/>
    </xf>
    <xf numFmtId="0" fontId="0" fillId="17" borderId="17" xfId="0" applyFill="1" applyBorder="1" applyAlignment="1">
      <alignment horizontal="left"/>
    </xf>
    <xf numFmtId="49" fontId="0" fillId="8" borderId="29" xfId="0" applyNumberFormat="1" applyFill="1" applyBorder="1"/>
    <xf numFmtId="0" fontId="0" fillId="8" borderId="26" xfId="0" applyFill="1" applyBorder="1" applyAlignment="1">
      <alignment horizontal="center"/>
    </xf>
    <xf numFmtId="0" fontId="0" fillId="17" borderId="17" xfId="0" applyFill="1" applyBorder="1"/>
    <xf numFmtId="49" fontId="0" fillId="8" borderId="26" xfId="0" applyNumberFormat="1" applyFill="1" applyBorder="1"/>
    <xf numFmtId="0" fontId="0" fillId="0" borderId="16" xfId="0" applyBorder="1"/>
    <xf numFmtId="164" fontId="0" fillId="17" borderId="17" xfId="0" applyNumberFormat="1" applyFill="1" applyBorder="1" applyAlignment="1">
      <alignment horizontal="center"/>
    </xf>
    <xf numFmtId="0" fontId="0" fillId="15" borderId="17" xfId="0" applyFill="1" applyBorder="1"/>
    <xf numFmtId="0" fontId="0" fillId="0" borderId="18" xfId="0" applyBorder="1"/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17" borderId="26" xfId="0" applyFill="1" applyBorder="1" applyAlignment="1">
      <alignment horizontal="center"/>
    </xf>
    <xf numFmtId="0" fontId="0" fillId="17" borderId="29" xfId="0" applyFill="1" applyBorder="1" applyAlignment="1">
      <alignment horizontal="center"/>
    </xf>
    <xf numFmtId="0" fontId="0" fillId="17" borderId="28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17" borderId="0" xfId="0" applyFill="1" applyBorder="1"/>
    <xf numFmtId="0" fontId="0" fillId="17" borderId="20" xfId="0" applyFill="1" applyBorder="1" applyAlignment="1">
      <alignment horizontal="center"/>
    </xf>
    <xf numFmtId="0" fontId="0" fillId="19" borderId="0" xfId="0" applyFill="1"/>
    <xf numFmtId="0" fontId="0" fillId="19" borderId="15" xfId="0" applyFill="1" applyBorder="1" applyAlignment="1">
      <alignment horizontal="center"/>
    </xf>
    <xf numFmtId="164" fontId="0" fillId="19" borderId="16" xfId="0" applyNumberFormat="1" applyFill="1" applyBorder="1" applyAlignment="1">
      <alignment horizontal="center"/>
    </xf>
    <xf numFmtId="0" fontId="0" fillId="19" borderId="29" xfId="0" applyFill="1" applyBorder="1"/>
    <xf numFmtId="0" fontId="0" fillId="19" borderId="13" xfId="0" applyFill="1" applyBorder="1" applyAlignment="1">
      <alignment horizontal="center"/>
    </xf>
    <xf numFmtId="0" fontId="0" fillId="19" borderId="11" xfId="0" applyFill="1" applyBorder="1" applyAlignment="1">
      <alignment horizontal="center"/>
    </xf>
    <xf numFmtId="0" fontId="0" fillId="19" borderId="26" xfId="0" applyFill="1" applyBorder="1"/>
    <xf numFmtId="0" fontId="0" fillId="19" borderId="16" xfId="0" applyFill="1" applyBorder="1" applyAlignment="1">
      <alignment horizontal="center"/>
    </xf>
    <xf numFmtId="0" fontId="0" fillId="19" borderId="0" xfId="0" applyFill="1" applyAlignment="1">
      <alignment horizontal="right"/>
    </xf>
    <xf numFmtId="0" fontId="0" fillId="19" borderId="26" xfId="0" applyFill="1" applyBorder="1" applyAlignment="1">
      <alignment horizontal="left"/>
    </xf>
    <xf numFmtId="0" fontId="0" fillId="19" borderId="29" xfId="0" applyFill="1" applyBorder="1" applyAlignment="1">
      <alignment horizontal="left"/>
    </xf>
    <xf numFmtId="0" fontId="0" fillId="16" borderId="15" xfId="0" applyFill="1" applyBorder="1" applyAlignment="1">
      <alignment horizontal="center"/>
    </xf>
    <xf numFmtId="164" fontId="0" fillId="16" borderId="16" xfId="0" applyNumberFormat="1" applyFill="1" applyBorder="1" applyAlignment="1">
      <alignment horizontal="center"/>
    </xf>
    <xf numFmtId="0" fontId="0" fillId="16" borderId="29" xfId="0" applyFill="1" applyBorder="1"/>
    <xf numFmtId="0" fontId="0" fillId="16" borderId="13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/>
    <xf numFmtId="0" fontId="0" fillId="21" borderId="17" xfId="0" applyFill="1" applyBorder="1" applyAlignment="1">
      <alignment horizontal="center"/>
    </xf>
    <xf numFmtId="0" fontId="0" fillId="21" borderId="17" xfId="0" applyFill="1" applyBorder="1"/>
    <xf numFmtId="0" fontId="0" fillId="21" borderId="13" xfId="0" applyFill="1" applyBorder="1" applyAlignment="1">
      <alignment horizontal="center"/>
    </xf>
    <xf numFmtId="0" fontId="0" fillId="21" borderId="11" xfId="0" applyFill="1" applyBorder="1" applyAlignment="1">
      <alignment horizontal="center"/>
    </xf>
    <xf numFmtId="0" fontId="0" fillId="21" borderId="26" xfId="0" applyFill="1" applyBorder="1"/>
    <xf numFmtId="0" fontId="0" fillId="21" borderId="26" xfId="0" applyFill="1" applyBorder="1" applyAlignment="1">
      <alignment horizontal="center"/>
    </xf>
    <xf numFmtId="0" fontId="0" fillId="21" borderId="11" xfId="0" applyFill="1" applyBorder="1"/>
    <xf numFmtId="0" fontId="0" fillId="16" borderId="17" xfId="0" applyFill="1" applyBorder="1" applyAlignment="1">
      <alignment horizontal="center"/>
    </xf>
    <xf numFmtId="0" fontId="0" fillId="16" borderId="18" xfId="0" applyFill="1" applyBorder="1" applyAlignment="1">
      <alignment horizontal="center"/>
    </xf>
    <xf numFmtId="0" fontId="0" fillId="16" borderId="28" xfId="0" applyFill="1" applyBorder="1" applyAlignment="1">
      <alignment horizontal="left"/>
    </xf>
    <xf numFmtId="0" fontId="0" fillId="20" borderId="15" xfId="0" applyFill="1" applyBorder="1" applyAlignment="1">
      <alignment horizontal="center"/>
    </xf>
    <xf numFmtId="0" fontId="0" fillId="20" borderId="16" xfId="0" applyFill="1" applyBorder="1" applyAlignment="1">
      <alignment horizontal="center"/>
    </xf>
    <xf numFmtId="0" fontId="0" fillId="20" borderId="29" xfId="0" applyFill="1" applyBorder="1" applyAlignment="1">
      <alignment horizontal="left"/>
    </xf>
    <xf numFmtId="164" fontId="0" fillId="16" borderId="11" xfId="0" applyNumberFormat="1" applyFill="1" applyBorder="1" applyAlignment="1">
      <alignment horizontal="center"/>
    </xf>
    <xf numFmtId="0" fontId="0" fillId="16" borderId="0" xfId="0" applyFill="1" applyBorder="1" applyAlignment="1">
      <alignment horizontal="left"/>
    </xf>
    <xf numFmtId="0" fontId="37" fillId="22" borderId="16" xfId="0" applyFont="1" applyFill="1" applyBorder="1" applyAlignment="1">
      <alignment horizontal="center"/>
    </xf>
    <xf numFmtId="0" fontId="0" fillId="23" borderId="17" xfId="0" applyFill="1" applyBorder="1" applyAlignment="1">
      <alignment horizontal="center"/>
    </xf>
    <xf numFmtId="0" fontId="0" fillId="23" borderId="18" xfId="0" applyFill="1" applyBorder="1" applyAlignment="1">
      <alignment horizontal="center"/>
    </xf>
    <xf numFmtId="0" fontId="0" fillId="23" borderId="28" xfId="0" applyFill="1" applyBorder="1" applyAlignment="1">
      <alignment horizontal="left"/>
    </xf>
    <xf numFmtId="49" fontId="0" fillId="23" borderId="28" xfId="0" applyNumberFormat="1" applyFill="1" applyBorder="1"/>
    <xf numFmtId="0" fontId="0" fillId="23" borderId="28" xfId="0" applyFill="1" applyBorder="1"/>
    <xf numFmtId="0" fontId="0" fillId="23" borderId="28" xfId="0" applyFill="1" applyBorder="1" applyAlignment="1">
      <alignment horizontal="center"/>
    </xf>
    <xf numFmtId="0" fontId="0" fillId="23" borderId="18" xfId="0" applyFill="1" applyBorder="1"/>
    <xf numFmtId="164" fontId="0" fillId="21" borderId="18" xfId="0" applyNumberFormat="1" applyFill="1" applyBorder="1" applyAlignment="1">
      <alignment horizontal="center"/>
    </xf>
    <xf numFmtId="0" fontId="0" fillId="21" borderId="28" xfId="0" applyFill="1" applyBorder="1"/>
    <xf numFmtId="0" fontId="0" fillId="21" borderId="16" xfId="0" applyFill="1" applyBorder="1" applyAlignment="1">
      <alignment horizontal="center"/>
    </xf>
    <xf numFmtId="0" fontId="0" fillId="21" borderId="18" xfId="0" applyFill="1" applyBorder="1" applyAlignment="1">
      <alignment horizontal="center"/>
    </xf>
    <xf numFmtId="0" fontId="0" fillId="21" borderId="18" xfId="0" applyFill="1" applyBorder="1"/>
    <xf numFmtId="3" fontId="0" fillId="21" borderId="18" xfId="0" applyNumberFormat="1" applyFill="1" applyBorder="1"/>
    <xf numFmtId="0" fontId="0" fillId="21" borderId="15" xfId="0" applyFill="1" applyBorder="1" applyAlignment="1">
      <alignment horizontal="center"/>
    </xf>
    <xf numFmtId="164" fontId="0" fillId="21" borderId="16" xfId="0" applyNumberFormat="1" applyFill="1" applyBorder="1" applyAlignment="1">
      <alignment horizontal="center"/>
    </xf>
    <xf numFmtId="0" fontId="0" fillId="21" borderId="29" xfId="0" applyFill="1" applyBorder="1"/>
    <xf numFmtId="0" fontId="0" fillId="21" borderId="29" xfId="0" applyFill="1" applyBorder="1" applyAlignment="1">
      <alignment horizontal="center"/>
    </xf>
    <xf numFmtId="0" fontId="0" fillId="21" borderId="16" xfId="0" applyFill="1" applyBorder="1"/>
    <xf numFmtId="0" fontId="0" fillId="23" borderId="13" xfId="0" applyFill="1" applyBorder="1" applyAlignment="1">
      <alignment horizontal="center"/>
    </xf>
    <xf numFmtId="0" fontId="0" fillId="23" borderId="11" xfId="0" applyFill="1" applyBorder="1" applyAlignment="1">
      <alignment horizontal="center"/>
    </xf>
    <xf numFmtId="0" fontId="0" fillId="23" borderId="26" xfId="0" applyFill="1" applyBorder="1" applyAlignment="1">
      <alignment horizontal="center"/>
    </xf>
    <xf numFmtId="0" fontId="0" fillId="23" borderId="26" xfId="0" applyFill="1" applyBorder="1" applyAlignment="1">
      <alignment horizontal="left"/>
    </xf>
    <xf numFmtId="0" fontId="0" fillId="24" borderId="13" xfId="0" applyFill="1" applyBorder="1" applyAlignment="1">
      <alignment horizontal="center"/>
    </xf>
    <xf numFmtId="164" fontId="0" fillId="24" borderId="11" xfId="0" applyNumberFormat="1" applyFill="1" applyBorder="1" applyAlignment="1">
      <alignment horizontal="center"/>
    </xf>
    <xf numFmtId="0" fontId="0" fillId="24" borderId="26" xfId="0" applyFill="1" applyBorder="1"/>
    <xf numFmtId="0" fontId="0" fillId="23" borderId="11" xfId="0" applyFill="1" applyBorder="1"/>
    <xf numFmtId="0" fontId="0" fillId="23" borderId="0" xfId="0" applyFill="1"/>
    <xf numFmtId="0" fontId="0" fillId="23" borderId="16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26" xfId="0" applyFill="1" applyBorder="1"/>
    <xf numFmtId="0" fontId="0" fillId="24" borderId="15" xfId="0" applyFill="1" applyBorder="1" applyAlignment="1">
      <alignment horizontal="center"/>
    </xf>
    <xf numFmtId="164" fontId="0" fillId="24" borderId="16" xfId="0" applyNumberFormat="1" applyFill="1" applyBorder="1" applyAlignment="1">
      <alignment horizontal="center"/>
    </xf>
    <xf numFmtId="0" fontId="0" fillId="24" borderId="29" xfId="0" applyFill="1" applyBorder="1"/>
    <xf numFmtId="0" fontId="0" fillId="20" borderId="17" xfId="0" applyFill="1" applyBorder="1" applyAlignment="1">
      <alignment horizontal="center"/>
    </xf>
    <xf numFmtId="0" fontId="0" fillId="20" borderId="17" xfId="0" applyFill="1" applyBorder="1"/>
    <xf numFmtId="164" fontId="0" fillId="24" borderId="13" xfId="0" applyNumberFormat="1" applyFill="1" applyBorder="1" applyAlignment="1">
      <alignment horizontal="center"/>
    </xf>
    <xf numFmtId="0" fontId="0" fillId="24" borderId="26" xfId="0" applyFill="1" applyBorder="1" applyAlignment="1">
      <alignment horizontal="left"/>
    </xf>
    <xf numFmtId="0" fontId="0" fillId="24" borderId="16" xfId="0" applyFill="1" applyBorder="1" applyAlignment="1">
      <alignment horizontal="center"/>
    </xf>
    <xf numFmtId="0" fontId="0" fillId="24" borderId="29" xfId="0" applyFill="1" applyBorder="1" applyAlignment="1">
      <alignment horizontal="left"/>
    </xf>
    <xf numFmtId="0" fontId="0" fillId="16" borderId="26" xfId="0" applyFill="1" applyBorder="1" applyAlignment="1">
      <alignment horizontal="left"/>
    </xf>
    <xf numFmtId="0" fontId="0" fillId="24" borderId="11" xfId="0" applyFill="1" applyBorder="1" applyAlignment="1">
      <alignment horizontal="center"/>
    </xf>
    <xf numFmtId="0" fontId="0" fillId="16" borderId="29" xfId="0" applyFill="1" applyBorder="1" applyAlignment="1">
      <alignment horizontal="left"/>
    </xf>
    <xf numFmtId="0" fontId="0" fillId="23" borderId="15" xfId="0" applyFill="1" applyBorder="1" applyAlignment="1">
      <alignment horizontal="center"/>
    </xf>
    <xf numFmtId="0" fontId="0" fillId="23" borderId="29" xfId="0" applyFill="1" applyBorder="1" applyAlignment="1">
      <alignment horizontal="left"/>
    </xf>
    <xf numFmtId="0" fontId="0" fillId="23" borderId="29" xfId="0" applyFill="1" applyBorder="1"/>
    <xf numFmtId="0" fontId="0" fillId="23" borderId="29" xfId="0" applyFill="1" applyBorder="1" applyAlignment="1">
      <alignment horizontal="center"/>
    </xf>
    <xf numFmtId="0" fontId="37" fillId="23" borderId="16" xfId="0" applyFont="1" applyFill="1" applyBorder="1" applyAlignment="1">
      <alignment horizontal="center"/>
    </xf>
    <xf numFmtId="0" fontId="0" fillId="23" borderId="16" xfId="0" applyFill="1" applyBorder="1"/>
    <xf numFmtId="0" fontId="0" fillId="24" borderId="17" xfId="0" applyFill="1" applyBorder="1" applyAlignment="1">
      <alignment horizontal="center"/>
    </xf>
    <xf numFmtId="164" fontId="0" fillId="24" borderId="18" xfId="0" applyNumberFormat="1" applyFill="1" applyBorder="1" applyAlignment="1">
      <alignment horizontal="center"/>
    </xf>
    <xf numFmtId="0" fontId="0" fillId="24" borderId="28" xfId="0" applyFill="1" applyBorder="1" applyAlignment="1">
      <alignment horizontal="left"/>
    </xf>
    <xf numFmtId="0" fontId="0" fillId="25" borderId="13" xfId="0" applyFill="1" applyBorder="1" applyAlignment="1">
      <alignment horizontal="center"/>
    </xf>
    <xf numFmtId="0" fontId="0" fillId="25" borderId="11" xfId="0" applyFill="1" applyBorder="1" applyAlignment="1">
      <alignment horizontal="center"/>
    </xf>
    <xf numFmtId="0" fontId="0" fillId="25" borderId="26" xfId="0" applyFill="1" applyBorder="1"/>
    <xf numFmtId="0" fontId="0" fillId="25" borderId="26" xfId="0" applyFill="1" applyBorder="1" applyAlignment="1">
      <alignment horizontal="center"/>
    </xf>
    <xf numFmtId="0" fontId="0" fillId="25" borderId="11" xfId="0" applyFill="1" applyBorder="1"/>
    <xf numFmtId="0" fontId="0" fillId="25" borderId="0" xfId="0" applyFill="1"/>
    <xf numFmtId="0" fontId="0" fillId="25" borderId="15" xfId="0" applyFill="1" applyBorder="1" applyAlignment="1">
      <alignment horizontal="center"/>
    </xf>
    <xf numFmtId="164" fontId="0" fillId="25" borderId="16" xfId="0" applyNumberFormat="1" applyFill="1" applyBorder="1" applyAlignment="1">
      <alignment horizontal="center"/>
    </xf>
    <xf numFmtId="0" fontId="0" fillId="25" borderId="29" xfId="0" applyFill="1" applyBorder="1"/>
    <xf numFmtId="0" fontId="0" fillId="25" borderId="29" xfId="0" applyFill="1" applyBorder="1" applyAlignment="1">
      <alignment horizontal="center"/>
    </xf>
    <xf numFmtId="0" fontId="0" fillId="25" borderId="16" xfId="0" applyFill="1" applyBorder="1" applyAlignment="1">
      <alignment horizontal="center"/>
    </xf>
    <xf numFmtId="0" fontId="0" fillId="25" borderId="16" xfId="0" applyFill="1" applyBorder="1"/>
    <xf numFmtId="0" fontId="0" fillId="25" borderId="17" xfId="0" applyFill="1" applyBorder="1" applyAlignment="1">
      <alignment horizontal="center"/>
    </xf>
    <xf numFmtId="164" fontId="0" fillId="25" borderId="17" xfId="0" applyNumberFormat="1" applyFill="1" applyBorder="1" applyAlignment="1">
      <alignment horizontal="center"/>
    </xf>
    <xf numFmtId="0" fontId="0" fillId="25" borderId="17" xfId="0" applyFill="1" applyBorder="1" applyAlignment="1">
      <alignment horizontal="left"/>
    </xf>
    <xf numFmtId="0" fontId="0" fillId="25" borderId="17" xfId="0" applyFill="1" applyBorder="1"/>
    <xf numFmtId="0" fontId="0" fillId="25" borderId="26" xfId="0" applyFill="1" applyBorder="1" applyAlignment="1">
      <alignment horizontal="left"/>
    </xf>
    <xf numFmtId="164" fontId="0" fillId="25" borderId="11" xfId="0" applyNumberFormat="1" applyFill="1" applyBorder="1" applyAlignment="1">
      <alignment horizontal="center"/>
    </xf>
    <xf numFmtId="0" fontId="0" fillId="25" borderId="0" xfId="0" applyFill="1" applyBorder="1" applyAlignment="1">
      <alignment horizontal="left"/>
    </xf>
    <xf numFmtId="0" fontId="0" fillId="25" borderId="0" xfId="0" applyFill="1" applyBorder="1"/>
    <xf numFmtId="0" fontId="17" fillId="25" borderId="0" xfId="0" applyFont="1" applyFill="1" applyAlignment="1">
      <alignment horizontal="center"/>
    </xf>
    <xf numFmtId="0" fontId="37" fillId="25" borderId="16" xfId="0" applyFont="1" applyFill="1" applyBorder="1" applyAlignment="1">
      <alignment horizontal="center"/>
    </xf>
    <xf numFmtId="0" fontId="0" fillId="25" borderId="18" xfId="0" applyFill="1" applyBorder="1" applyAlignment="1">
      <alignment horizontal="center"/>
    </xf>
    <xf numFmtId="0" fontId="0" fillId="25" borderId="29" xfId="0" applyFill="1" applyBorder="1" applyAlignment="1">
      <alignment horizontal="left"/>
    </xf>
    <xf numFmtId="0" fontId="0" fillId="25" borderId="20" xfId="0" applyFill="1" applyBorder="1" applyAlignment="1">
      <alignment horizontal="center"/>
    </xf>
    <xf numFmtId="0" fontId="0" fillId="25" borderId="28" xfId="0" applyFill="1" applyBorder="1" applyAlignment="1">
      <alignment horizontal="left"/>
    </xf>
    <xf numFmtId="49" fontId="0" fillId="25" borderId="28" xfId="0" applyNumberFormat="1" applyFill="1" applyBorder="1"/>
    <xf numFmtId="0" fontId="0" fillId="25" borderId="28" xfId="0" applyFill="1" applyBorder="1"/>
    <xf numFmtId="0" fontId="0" fillId="25" borderId="28" xfId="0" applyFill="1" applyBorder="1" applyAlignment="1">
      <alignment horizontal="center"/>
    </xf>
    <xf numFmtId="0" fontId="0" fillId="25" borderId="18" xfId="0" applyFill="1" applyBorder="1"/>
    <xf numFmtId="0" fontId="40" fillId="20" borderId="17" xfId="0" applyFont="1" applyFill="1" applyBorder="1" applyAlignment="1">
      <alignment horizontal="center"/>
    </xf>
    <xf numFmtId="0" fontId="40" fillId="20" borderId="18" xfId="0" applyFont="1" applyFill="1" applyBorder="1" applyAlignment="1">
      <alignment horizontal="center"/>
    </xf>
    <xf numFmtId="0" fontId="40" fillId="20" borderId="28" xfId="0" applyFont="1" applyFill="1" applyBorder="1" applyAlignment="1">
      <alignment horizontal="left"/>
    </xf>
    <xf numFmtId="49" fontId="0" fillId="23" borderId="29" xfId="0" applyNumberFormat="1" applyFill="1" applyBorder="1"/>
    <xf numFmtId="0" fontId="0" fillId="23" borderId="17" xfId="0" applyFill="1" applyBorder="1" applyAlignment="1">
      <alignment horizontal="left"/>
    </xf>
    <xf numFmtId="0" fontId="0" fillId="26" borderId="13" xfId="0" applyFill="1" applyBorder="1" applyAlignment="1">
      <alignment horizontal="center"/>
    </xf>
    <xf numFmtId="0" fontId="0" fillId="26" borderId="11" xfId="0" applyFill="1" applyBorder="1" applyAlignment="1">
      <alignment horizontal="center"/>
    </xf>
    <xf numFmtId="0" fontId="0" fillId="26" borderId="26" xfId="0" applyFill="1" applyBorder="1"/>
    <xf numFmtId="0" fontId="0" fillId="26" borderId="26" xfId="0" applyFill="1" applyBorder="1" applyAlignment="1">
      <alignment horizontal="center"/>
    </xf>
    <xf numFmtId="0" fontId="0" fillId="26" borderId="16" xfId="0" applyFill="1" applyBorder="1" applyAlignment="1">
      <alignment horizontal="center"/>
    </xf>
    <xf numFmtId="0" fontId="0" fillId="26" borderId="11" xfId="0" applyFill="1" applyBorder="1"/>
    <xf numFmtId="0" fontId="0" fillId="26" borderId="16" xfId="0" applyFill="1" applyBorder="1"/>
    <xf numFmtId="0" fontId="0" fillId="26" borderId="0" xfId="0" applyFill="1"/>
    <xf numFmtId="0" fontId="0" fillId="23" borderId="26" xfId="0" applyFill="1" applyBorder="1"/>
    <xf numFmtId="49" fontId="0" fillId="23" borderId="26" xfId="0" applyNumberFormat="1" applyFill="1" applyBorder="1"/>
    <xf numFmtId="164" fontId="0" fillId="23" borderId="16" xfId="0" applyNumberFormat="1" applyFill="1" applyBorder="1" applyAlignment="1">
      <alignment horizontal="center"/>
    </xf>
    <xf numFmtId="164" fontId="0" fillId="23" borderId="18" xfId="0" applyNumberFormat="1" applyFill="1" applyBorder="1" applyAlignment="1">
      <alignment horizontal="center"/>
    </xf>
    <xf numFmtId="0" fontId="17" fillId="0" borderId="0" xfId="0" applyFont="1" applyFill="1" applyAlignment="1">
      <alignment horizontal="center"/>
    </xf>
    <xf numFmtId="0" fontId="17" fillId="0" borderId="11" xfId="0" applyFont="1" applyFill="1" applyBorder="1" applyAlignment="1">
      <alignment horizontal="center"/>
    </xf>
    <xf numFmtId="0" fontId="0" fillId="15" borderId="0" xfId="0" applyFill="1" applyBorder="1"/>
    <xf numFmtId="0" fontId="0" fillId="23" borderId="0" xfId="0" applyFill="1" applyBorder="1"/>
    <xf numFmtId="0" fontId="0" fillId="0" borderId="0" xfId="0" applyBorder="1"/>
    <xf numFmtId="0" fontId="0" fillId="8" borderId="0" xfId="0" applyFill="1" applyBorder="1"/>
    <xf numFmtId="0" fontId="0" fillId="23" borderId="0" xfId="0" applyFill="1" applyBorder="1" applyAlignment="1">
      <alignment horizontal="center"/>
    </xf>
    <xf numFmtId="0" fontId="0" fillId="25" borderId="0" xfId="0" applyFill="1" applyBorder="1" applyAlignment="1">
      <alignment horizontal="center"/>
    </xf>
    <xf numFmtId="0" fontId="0" fillId="26" borderId="0" xfId="0" applyFill="1" applyBorder="1"/>
    <xf numFmtId="0" fontId="0" fillId="5" borderId="0" xfId="0" applyFill="1" applyBorder="1"/>
    <xf numFmtId="0" fontId="0" fillId="8" borderId="0" xfId="0" applyFill="1" applyBorder="1" applyAlignment="1">
      <alignment horizontal="center"/>
    </xf>
  </cellXfs>
  <cellStyles count="5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Обычный 4" xfId="3" xr:uid="{00000000-0005-0000-0000-000003000000}"/>
    <cellStyle name="Обычный 4 2" xfId="4" xr:uid="{4CD10880-4254-48AA-A582-FFB2AC9D77EE}"/>
  </cellStyles>
  <dxfs count="1">
    <dxf>
      <fill>
        <patternFill patternType="solid">
          <fgColor rgb="FFF4B084"/>
          <bgColor rgb="FF000000"/>
        </patternFill>
      </fill>
    </dxf>
  </dxfs>
  <tableStyles count="0" defaultTableStyle="TableStyleMedium2" defaultPivotStyle="PivotStyleLight16"/>
  <colors>
    <mruColors>
      <color rgb="FF53E4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56833</xdr:colOff>
      <xdr:row>0</xdr:row>
      <xdr:rowOff>37783</xdr:rowOff>
    </xdr:from>
    <xdr:to>
      <xdr:col>1</xdr:col>
      <xdr:colOff>123508</xdr:colOff>
      <xdr:row>2</xdr:row>
      <xdr:rowOff>396316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23A30550-FEE5-44E7-AC38-0C9B395BFE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33" y="37783"/>
          <a:ext cx="885825" cy="9014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76200</xdr:colOff>
      <xdr:row>48</xdr:row>
      <xdr:rowOff>63500</xdr:rowOff>
    </xdr:from>
    <xdr:to>
      <xdr:col>1</xdr:col>
      <xdr:colOff>142875</xdr:colOff>
      <xdr:row>53</xdr:row>
      <xdr:rowOff>56909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F06B153-65AF-4028-97D0-4F6A447E1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959975"/>
          <a:ext cx="885825" cy="945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100</xdr:row>
      <xdr:rowOff>0</xdr:rowOff>
    </xdr:from>
    <xdr:to>
      <xdr:col>1</xdr:col>
      <xdr:colOff>85725</xdr:colOff>
      <xdr:row>104</xdr:row>
      <xdr:rowOff>77546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5412DCEB-1425-4A57-BE0A-C0E58EA50A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829463"/>
          <a:ext cx="885825" cy="9252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42;&#1086;&#1089;&#1089;&#1090;&#1072;&#1085;&#1086;&#1074;&#1083;&#1077;&#1085;&#1085;&#1072;&#1103;_&#1074;&#1085;&#1077;&#1096;&#1085;&#1103;&#1103;_&#1089;&#1089;&#1099;&#1083;&#1082;&#1072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обытия"/>
      <sheetName val="Сочи договор"/>
      <sheetName val="Сочи"/>
      <sheetName val="Клиенты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C27"/>
  <sheetViews>
    <sheetView workbookViewId="0">
      <selection activeCell="H22" sqref="H22"/>
    </sheetView>
  </sheetViews>
  <sheetFormatPr defaultColWidth="8.85546875" defaultRowHeight="15"/>
  <cols>
    <col min="2" max="2" width="17.140625" bestFit="1" customWidth="1"/>
  </cols>
  <sheetData>
    <row r="1" spans="1:3">
      <c r="A1" t="s">
        <v>0</v>
      </c>
      <c r="B1" t="s">
        <v>1</v>
      </c>
      <c r="C1" t="s">
        <v>2</v>
      </c>
    </row>
    <row r="2" spans="1:3">
      <c r="A2">
        <v>1</v>
      </c>
      <c r="B2" t="s">
        <v>3</v>
      </c>
      <c r="C2" t="s">
        <v>4</v>
      </c>
    </row>
    <row r="3" spans="1:3">
      <c r="A3">
        <v>2</v>
      </c>
      <c r="B3" t="s">
        <v>330</v>
      </c>
      <c r="C3" t="s">
        <v>5</v>
      </c>
    </row>
    <row r="4" spans="1:3">
      <c r="A4">
        <v>3</v>
      </c>
      <c r="B4" s="33" t="s">
        <v>6</v>
      </c>
      <c r="C4" t="s">
        <v>7</v>
      </c>
    </row>
    <row r="5" spans="1:3">
      <c r="A5">
        <v>4</v>
      </c>
      <c r="B5" t="s">
        <v>8</v>
      </c>
      <c r="C5" t="s">
        <v>9</v>
      </c>
    </row>
    <row r="6" spans="1:3">
      <c r="A6">
        <v>5</v>
      </c>
      <c r="B6" s="33" t="s">
        <v>10</v>
      </c>
      <c r="C6" t="s">
        <v>11</v>
      </c>
    </row>
    <row r="7" spans="1:3">
      <c r="A7">
        <v>6</v>
      </c>
      <c r="B7" s="33" t="s">
        <v>12</v>
      </c>
      <c r="C7" t="s">
        <v>13</v>
      </c>
    </row>
    <row r="8" spans="1:3">
      <c r="A8">
        <v>7</v>
      </c>
      <c r="B8" t="s">
        <v>14</v>
      </c>
      <c r="C8" t="s">
        <v>15</v>
      </c>
    </row>
    <row r="9" spans="1:3">
      <c r="A9">
        <v>8</v>
      </c>
      <c r="B9" s="33" t="s">
        <v>16</v>
      </c>
      <c r="C9" t="s">
        <v>17</v>
      </c>
    </row>
    <row r="10" spans="1:3">
      <c r="A10">
        <v>9</v>
      </c>
      <c r="B10" s="33" t="s">
        <v>18</v>
      </c>
      <c r="C10" t="s">
        <v>19</v>
      </c>
    </row>
    <row r="11" spans="1:3">
      <c r="A11">
        <v>10</v>
      </c>
      <c r="B11" s="33" t="s">
        <v>20</v>
      </c>
      <c r="C11" t="s">
        <v>21</v>
      </c>
    </row>
    <row r="13" spans="1:3">
      <c r="B13" t="s">
        <v>22</v>
      </c>
      <c r="C13" t="s">
        <v>23</v>
      </c>
    </row>
    <row r="14" spans="1:3">
      <c r="B14" s="33" t="s">
        <v>24</v>
      </c>
      <c r="C14" t="s">
        <v>25</v>
      </c>
    </row>
    <row r="15" spans="1:3">
      <c r="B15" t="s">
        <v>26</v>
      </c>
      <c r="C15" t="s">
        <v>27</v>
      </c>
    </row>
    <row r="17" spans="2:3">
      <c r="B17" t="s">
        <v>28</v>
      </c>
      <c r="C17" t="s">
        <v>29</v>
      </c>
    </row>
    <row r="18" spans="2:3">
      <c r="B18" s="33" t="s">
        <v>10</v>
      </c>
      <c r="C18" t="s">
        <v>30</v>
      </c>
    </row>
    <row r="19" spans="2:3">
      <c r="B19" t="s">
        <v>31</v>
      </c>
      <c r="C19" t="s">
        <v>32</v>
      </c>
    </row>
    <row r="20" spans="2:3">
      <c r="B20" s="33" t="s">
        <v>10</v>
      </c>
      <c r="C20" t="s">
        <v>33</v>
      </c>
    </row>
    <row r="21" spans="2:3">
      <c r="B21" t="s">
        <v>34</v>
      </c>
      <c r="C21" t="s">
        <v>35</v>
      </c>
    </row>
    <row r="22" spans="2:3">
      <c r="B22" s="33" t="s">
        <v>12</v>
      </c>
      <c r="C22" t="s">
        <v>36</v>
      </c>
    </row>
    <row r="23" spans="2:3">
      <c r="B23" t="s">
        <v>37</v>
      </c>
      <c r="C23" t="s">
        <v>38</v>
      </c>
    </row>
    <row r="24" spans="2:3">
      <c r="B24" t="s">
        <v>39</v>
      </c>
      <c r="C24" t="s">
        <v>40</v>
      </c>
    </row>
    <row r="25" spans="2:3">
      <c r="B25" t="s">
        <v>41</v>
      </c>
      <c r="C25" t="s">
        <v>42</v>
      </c>
    </row>
    <row r="26" spans="2:3">
      <c r="B26" t="s">
        <v>14</v>
      </c>
      <c r="C26" t="s">
        <v>43</v>
      </c>
    </row>
    <row r="27" spans="2:3">
      <c r="B27" t="s">
        <v>44</v>
      </c>
      <c r="C27" t="s">
        <v>45</v>
      </c>
    </row>
  </sheetData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"/>
  <sheetViews>
    <sheetView workbookViewId="0">
      <selection activeCell="H22" sqref="H22"/>
    </sheetView>
  </sheetViews>
  <sheetFormatPr defaultColWidth="8.85546875" defaultRowHeight="15"/>
  <cols>
    <col min="2" max="2" width="9.14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1">
    <tabColor theme="5" tint="0.79998168889431442"/>
  </sheetPr>
  <dimension ref="A1:T21"/>
  <sheetViews>
    <sheetView zoomScale="115" zoomScaleNormal="115" workbookViewId="0">
      <pane xSplit="1" topLeftCell="B1" activePane="topRight" state="frozen"/>
      <selection activeCell="H22" sqref="H22"/>
      <selection pane="topRight" activeCell="H22" sqref="H22"/>
    </sheetView>
  </sheetViews>
  <sheetFormatPr defaultColWidth="9.140625" defaultRowHeight="15"/>
  <cols>
    <col min="1" max="1" width="34.28515625" style="4" customWidth="1"/>
    <col min="2" max="2" width="58.42578125" style="4" customWidth="1"/>
    <col min="3" max="37" width="9.140625" style="4" customWidth="1"/>
    <col min="38" max="16384" width="9.140625" style="4"/>
  </cols>
  <sheetData>
    <row r="1" spans="1:20" ht="37.35" customHeight="1" thickBot="1">
      <c r="A1" s="1" t="s">
        <v>46</v>
      </c>
      <c r="B1" s="2" t="s">
        <v>47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ht="21" customHeight="1" thickBot="1">
      <c r="A2" s="5" t="s">
        <v>48</v>
      </c>
      <c r="B2" s="6" t="s">
        <v>49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0" ht="14.45" customHeight="1" thickBot="1">
      <c r="A3" s="5" t="s">
        <v>50</v>
      </c>
      <c r="B3" s="6">
        <v>2025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ht="14.85" customHeight="1" thickBot="1">
      <c r="A4" s="5" t="s">
        <v>51</v>
      </c>
      <c r="B4" s="6" t="s">
        <v>52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ht="14.85" customHeight="1" thickBot="1">
      <c r="A5" s="5" t="s">
        <v>53</v>
      </c>
      <c r="B5" s="7" t="s">
        <v>54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0" ht="14.85" customHeight="1" thickBot="1">
      <c r="A6" s="5" t="s">
        <v>55</v>
      </c>
      <c r="B6" s="6" t="s">
        <v>56</v>
      </c>
      <c r="C6" s="3"/>
      <c r="D6" s="3"/>
      <c r="E6" s="3"/>
      <c r="F6" s="3"/>
      <c r="G6" s="3"/>
      <c r="H6" s="3"/>
      <c r="I6" s="3"/>
      <c r="J6" s="8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" customHeight="1" thickBot="1">
      <c r="A7" s="9" t="s">
        <v>57</v>
      </c>
      <c r="B7" s="10">
        <v>45926</v>
      </c>
      <c r="C7" s="3"/>
      <c r="D7" s="3"/>
      <c r="E7" s="3"/>
      <c r="F7" s="3"/>
      <c r="G7" s="3"/>
      <c r="H7" s="3"/>
      <c r="I7" s="3"/>
      <c r="J7" s="11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4.85" customHeight="1" thickBot="1">
      <c r="A8" s="9" t="s">
        <v>58</v>
      </c>
      <c r="B8" s="10">
        <v>45942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16.7" customHeight="1" thickBot="1">
      <c r="A9" s="5" t="s">
        <v>59</v>
      </c>
      <c r="B9" s="6">
        <v>10000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0" ht="16.7" customHeight="1" thickBot="1">
      <c r="A10" s="12" t="s">
        <v>60</v>
      </c>
      <c r="B10" s="13" t="s">
        <v>61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0" s="17" customFormat="1" ht="25.7" customHeight="1" thickBot="1">
      <c r="A11" s="14" t="s">
        <v>62</v>
      </c>
      <c r="B11" s="15" t="s">
        <v>62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</row>
    <row r="12" spans="1:20" ht="25.5" customHeight="1" thickBot="1">
      <c r="A12" s="18" t="s">
        <v>63</v>
      </c>
      <c r="B12" s="19" t="s">
        <v>64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0" ht="25.5" customHeight="1" thickBot="1">
      <c r="A13" s="18" t="s">
        <v>65</v>
      </c>
      <c r="B13" s="20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20" ht="15.75" customHeight="1" thickBot="1">
      <c r="A14" s="21" t="s">
        <v>66</v>
      </c>
      <c r="B14" s="22" t="s">
        <v>67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20" ht="25.5" customHeight="1" thickBot="1">
      <c r="A15" s="21" t="s">
        <v>68</v>
      </c>
      <c r="B15" s="22" t="s">
        <v>69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1:20" ht="18" customHeight="1" thickBot="1">
      <c r="A16" s="23" t="s">
        <v>70</v>
      </c>
      <c r="B16" s="24" t="s">
        <v>71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1:20" ht="18" customHeight="1" thickBot="1">
      <c r="A17" s="23" t="s">
        <v>72</v>
      </c>
      <c r="B17" s="24" t="s">
        <v>73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20" ht="18" customHeight="1" thickBot="1">
      <c r="A18" s="25" t="s">
        <v>74</v>
      </c>
      <c r="B18" s="26" t="s">
        <v>75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</row>
    <row r="19" spans="1:20" ht="18" customHeight="1" thickBot="1">
      <c r="A19" s="27" t="s">
        <v>76</v>
      </c>
      <c r="B19" s="28" t="s">
        <v>77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20" ht="18" customHeight="1" thickBot="1">
      <c r="A20" s="29" t="s">
        <v>78</v>
      </c>
      <c r="B20" s="30">
        <v>45942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</row>
    <row r="21" spans="1:20" ht="14.85" customHeight="1" thickBot="1">
      <c r="A21" s="31"/>
      <c r="B21" s="3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CD275-EA79-477E-9C58-FBF096677DB1}">
  <sheetPr codeName="Лист31">
    <tabColor rgb="FF53E4EB"/>
  </sheetPr>
  <dimension ref="A1:I140"/>
  <sheetViews>
    <sheetView showGridLines="0" showZeros="0" zoomScaleNormal="100" workbookViewId="0">
      <selection activeCell="I23" sqref="I23"/>
    </sheetView>
  </sheetViews>
  <sheetFormatPr defaultColWidth="9.140625" defaultRowHeight="15"/>
  <cols>
    <col min="1" max="1" width="12.28515625" style="102" customWidth="1"/>
    <col min="2" max="2" width="14.7109375" style="102" customWidth="1"/>
    <col min="3" max="3" width="9.28515625" style="102" customWidth="1"/>
    <col min="4" max="4" width="10.42578125" style="102" customWidth="1"/>
    <col min="5" max="5" width="10.85546875" style="102" customWidth="1"/>
    <col min="6" max="6" width="11.85546875" style="102" customWidth="1"/>
    <col min="7" max="7" width="5.42578125" style="102" customWidth="1"/>
    <col min="8" max="8" width="10.140625" style="102" customWidth="1"/>
    <col min="9" max="9" width="18.28515625" style="102" customWidth="1"/>
    <col min="10" max="16384" width="9.140625" style="104"/>
  </cols>
  <sheetData>
    <row r="1" spans="1:9" ht="19.350000000000001" customHeight="1">
      <c r="G1" s="103"/>
    </row>
    <row r="2" spans="1:9" s="105" customFormat="1" ht="24" customHeight="1">
      <c r="C2" s="106" t="s">
        <v>215</v>
      </c>
      <c r="H2" s="107">
        <v>70</v>
      </c>
    </row>
    <row r="3" spans="1:9" s="102" customFormat="1" ht="45.6" customHeight="1">
      <c r="A3" s="108" t="s">
        <v>216</v>
      </c>
      <c r="I3" s="109">
        <f>F14</f>
        <v>45926</v>
      </c>
    </row>
    <row r="4" spans="1:9" ht="18.600000000000001" customHeight="1">
      <c r="A4" s="102" t="s">
        <v>217</v>
      </c>
    </row>
    <row r="5" spans="1:9">
      <c r="A5" s="102" t="s">
        <v>218</v>
      </c>
    </row>
    <row r="6" spans="1:9">
      <c r="A6" s="102" t="s">
        <v>219</v>
      </c>
      <c r="B6" s="102" t="str">
        <f>F89</f>
        <v>Рызбаев Рустам Раисович</v>
      </c>
    </row>
    <row r="7" spans="1:9">
      <c r="A7" s="102" t="s">
        <v>220</v>
      </c>
    </row>
    <row r="8" spans="1:9" ht="16.350000000000001" customHeight="1">
      <c r="A8" s="108" t="s">
        <v>221</v>
      </c>
    </row>
    <row r="9" spans="1:9">
      <c r="A9" s="102" t="s">
        <v>222</v>
      </c>
    </row>
    <row r="10" spans="1:9">
      <c r="A10" s="102" t="s">
        <v>223</v>
      </c>
    </row>
    <row r="11" spans="1:9">
      <c r="A11" s="102" t="s">
        <v>224</v>
      </c>
    </row>
    <row r="12" spans="1:9">
      <c r="B12" s="102" t="s">
        <v>54</v>
      </c>
      <c r="F12" s="102" t="s">
        <v>225</v>
      </c>
    </row>
    <row r="13" spans="1:9">
      <c r="A13" s="102" t="s">
        <v>537</v>
      </c>
      <c r="E13" s="102" t="s">
        <v>56</v>
      </c>
    </row>
    <row r="14" spans="1:9">
      <c r="A14" s="102" t="s">
        <v>537</v>
      </c>
      <c r="E14" s="102" t="s">
        <v>226</v>
      </c>
      <c r="F14" s="110">
        <v>45926</v>
      </c>
      <c r="G14" s="102" t="s">
        <v>227</v>
      </c>
      <c r="H14" s="110">
        <v>45942</v>
      </c>
    </row>
    <row r="15" spans="1:9">
      <c r="A15" s="102" t="s">
        <v>228</v>
      </c>
    </row>
    <row r="16" spans="1:9">
      <c r="A16" s="102" t="s">
        <v>229</v>
      </c>
    </row>
    <row r="17" spans="1:8" ht="16.350000000000001" customHeight="1">
      <c r="A17" s="108" t="s">
        <v>230</v>
      </c>
    </row>
    <row r="18" spans="1:8" ht="18" customHeight="1">
      <c r="A18" s="111" t="s">
        <v>231</v>
      </c>
      <c r="H18" s="150"/>
    </row>
    <row r="19" spans="1:8">
      <c r="A19" s="102" t="s">
        <v>232</v>
      </c>
    </row>
    <row r="20" spans="1:8">
      <c r="A20" s="102" t="s">
        <v>233</v>
      </c>
    </row>
    <row r="21" spans="1:8">
      <c r="A21" s="102" t="s">
        <v>234</v>
      </c>
    </row>
    <row r="22" spans="1:8">
      <c r="A22" s="102" t="s">
        <v>235</v>
      </c>
    </row>
    <row r="23" spans="1:8">
      <c r="A23" s="102" t="s">
        <v>236</v>
      </c>
    </row>
    <row r="24" spans="1:8">
      <c r="A24" s="102" t="s">
        <v>237</v>
      </c>
    </row>
    <row r="25" spans="1:8">
      <c r="A25" s="102" t="s">
        <v>238</v>
      </c>
    </row>
    <row r="26" spans="1:8">
      <c r="A26" s="102" t="s">
        <v>239</v>
      </c>
    </row>
    <row r="27" spans="1:8">
      <c r="A27" s="102" t="s">
        <v>240</v>
      </c>
    </row>
    <row r="28" spans="1:8">
      <c r="A28" s="102" t="s">
        <v>241</v>
      </c>
    </row>
    <row r="29" spans="1:8">
      <c r="A29" s="102" t="s">
        <v>242</v>
      </c>
    </row>
    <row r="30" spans="1:8">
      <c r="A30" s="102" t="s">
        <v>243</v>
      </c>
    </row>
    <row r="31" spans="1:8">
      <c r="A31" s="102" t="s">
        <v>244</v>
      </c>
    </row>
    <row r="32" spans="1:8">
      <c r="A32" s="102" t="s">
        <v>245</v>
      </c>
    </row>
    <row r="33" spans="1:1">
      <c r="A33" s="102" t="s">
        <v>246</v>
      </c>
    </row>
    <row r="34" spans="1:1" ht="18" customHeight="1">
      <c r="A34" s="111" t="s">
        <v>247</v>
      </c>
    </row>
    <row r="35" spans="1:1">
      <c r="A35" s="102" t="s">
        <v>248</v>
      </c>
    </row>
    <row r="36" spans="1:1">
      <c r="A36" s="102" t="s">
        <v>249</v>
      </c>
    </row>
    <row r="37" spans="1:1">
      <c r="A37" s="102" t="s">
        <v>250</v>
      </c>
    </row>
    <row r="38" spans="1:1">
      <c r="A38" s="102" t="s">
        <v>251</v>
      </c>
    </row>
    <row r="39" spans="1:1">
      <c r="A39" s="102" t="s">
        <v>252</v>
      </c>
    </row>
    <row r="40" spans="1:1">
      <c r="A40" s="102" t="s">
        <v>253</v>
      </c>
    </row>
    <row r="41" spans="1:1">
      <c r="A41" s="102" t="s">
        <v>254</v>
      </c>
    </row>
    <row r="42" spans="1:1">
      <c r="A42" s="102" t="s">
        <v>255</v>
      </c>
    </row>
    <row r="43" spans="1:1">
      <c r="A43" s="102" t="s">
        <v>256</v>
      </c>
    </row>
    <row r="44" spans="1:1">
      <c r="A44" s="102" t="s">
        <v>257</v>
      </c>
    </row>
    <row r="45" spans="1:1">
      <c r="A45" s="102" t="s">
        <v>258</v>
      </c>
    </row>
    <row r="46" spans="1:1">
      <c r="A46" s="102" t="s">
        <v>259</v>
      </c>
    </row>
    <row r="47" spans="1:1" ht="18" customHeight="1">
      <c r="A47" s="102" t="s">
        <v>260</v>
      </c>
    </row>
    <row r="48" spans="1:1" ht="18" customHeight="1"/>
    <row r="49" spans="1:6">
      <c r="B49" s="102" t="s">
        <v>261</v>
      </c>
    </row>
    <row r="50" spans="1:6">
      <c r="B50" s="102" t="s">
        <v>262</v>
      </c>
    </row>
    <row r="51" spans="1:6">
      <c r="B51" s="102" t="s">
        <v>263</v>
      </c>
    </row>
    <row r="52" spans="1:6">
      <c r="B52" s="102" t="s">
        <v>264</v>
      </c>
    </row>
    <row r="53" spans="1:6">
      <c r="B53" s="102" t="s">
        <v>265</v>
      </c>
    </row>
    <row r="54" spans="1:6">
      <c r="A54" s="102" t="s">
        <v>266</v>
      </c>
    </row>
    <row r="55" spans="1:6">
      <c r="A55" s="108" t="s">
        <v>267</v>
      </c>
    </row>
    <row r="56" spans="1:6">
      <c r="A56" s="102" t="s">
        <v>268</v>
      </c>
      <c r="E56" s="112" t="s">
        <v>82</v>
      </c>
      <c r="F56" s="102">
        <v>10000</v>
      </c>
    </row>
    <row r="57" spans="1:6">
      <c r="A57" s="102" t="s">
        <v>269</v>
      </c>
    </row>
    <row r="58" spans="1:6">
      <c r="A58" s="102" t="s">
        <v>270</v>
      </c>
    </row>
    <row r="59" spans="1:6">
      <c r="A59" s="102" t="s">
        <v>271</v>
      </c>
    </row>
    <row r="60" spans="1:6">
      <c r="A60" s="108" t="s">
        <v>272</v>
      </c>
    </row>
    <row r="61" spans="1:6">
      <c r="A61" s="102" t="s">
        <v>273</v>
      </c>
    </row>
    <row r="62" spans="1:6">
      <c r="A62" s="102" t="s">
        <v>274</v>
      </c>
    </row>
    <row r="63" spans="1:6">
      <c r="A63" s="113" t="s">
        <v>418</v>
      </c>
    </row>
    <row r="64" spans="1:6">
      <c r="A64" s="113" t="s">
        <v>421</v>
      </c>
    </row>
    <row r="65" spans="1:9">
      <c r="A65" s="113" t="s">
        <v>420</v>
      </c>
    </row>
    <row r="66" spans="1:9">
      <c r="A66" s="102" t="s">
        <v>275</v>
      </c>
    </row>
    <row r="67" spans="1:9">
      <c r="A67" s="102" t="s">
        <v>276</v>
      </c>
    </row>
    <row r="68" spans="1:9">
      <c r="A68" s="102" t="s">
        <v>468</v>
      </c>
    </row>
    <row r="69" spans="1:9">
      <c r="A69" s="102" t="s">
        <v>469</v>
      </c>
    </row>
    <row r="70" spans="1:9">
      <c r="A70" s="102" t="s">
        <v>470</v>
      </c>
    </row>
    <row r="71" spans="1:9">
      <c r="A71" s="108" t="s">
        <v>277</v>
      </c>
    </row>
    <row r="72" spans="1:9">
      <c r="A72" s="102" t="s">
        <v>278</v>
      </c>
      <c r="I72" s="114">
        <f>H86</f>
        <v>45942</v>
      </c>
    </row>
    <row r="73" spans="1:9">
      <c r="A73" s="108" t="s">
        <v>279</v>
      </c>
    </row>
    <row r="74" spans="1:9">
      <c r="A74" s="115" t="s">
        <v>280</v>
      </c>
      <c r="B74" s="115"/>
      <c r="C74" s="115"/>
      <c r="D74" s="115"/>
      <c r="E74" s="115"/>
      <c r="F74" s="115"/>
      <c r="G74" s="115"/>
    </row>
    <row r="75" spans="1:9">
      <c r="A75" s="115" t="s">
        <v>64</v>
      </c>
      <c r="B75" s="115"/>
      <c r="C75" s="115"/>
      <c r="D75" s="115"/>
      <c r="E75" s="115">
        <v>0</v>
      </c>
      <c r="F75" s="115"/>
      <c r="G75" s="115"/>
    </row>
    <row r="76" spans="1:9">
      <c r="A76" s="116" t="s">
        <v>281</v>
      </c>
      <c r="B76" s="116"/>
      <c r="C76" s="116"/>
      <c r="D76" s="116"/>
      <c r="E76" s="116"/>
      <c r="F76" s="116"/>
      <c r="G76" s="116"/>
    </row>
    <row r="77" spans="1:9">
      <c r="A77" s="116" t="s">
        <v>67</v>
      </c>
      <c r="B77" s="116"/>
      <c r="C77" s="116"/>
      <c r="D77" s="116"/>
      <c r="E77" s="116" t="s">
        <v>69</v>
      </c>
      <c r="F77" s="116"/>
      <c r="G77" s="116"/>
    </row>
    <row r="78" spans="1:9">
      <c r="A78" s="102" t="s">
        <v>282</v>
      </c>
    </row>
    <row r="79" spans="1:9">
      <c r="A79" s="102" t="s">
        <v>71</v>
      </c>
    </row>
    <row r="80" spans="1:9">
      <c r="A80" s="102" t="s">
        <v>283</v>
      </c>
    </row>
    <row r="81" spans="1:9">
      <c r="A81" s="102" t="s">
        <v>73</v>
      </c>
    </row>
    <row r="82" spans="1:9">
      <c r="A82" s="117" t="s">
        <v>284</v>
      </c>
      <c r="B82" s="117"/>
      <c r="C82" s="117"/>
      <c r="D82" s="117"/>
      <c r="E82" s="117"/>
      <c r="F82" s="117"/>
      <c r="G82" s="117"/>
    </row>
    <row r="83" spans="1:9">
      <c r="A83" s="117" t="s">
        <v>75</v>
      </c>
      <c r="B83" s="117"/>
      <c r="C83" s="117"/>
      <c r="D83" s="117"/>
      <c r="E83" s="117"/>
      <c r="F83" s="117"/>
      <c r="G83" s="117"/>
    </row>
    <row r="84" spans="1:9">
      <c r="A84" s="118" t="s">
        <v>285</v>
      </c>
      <c r="B84" s="118"/>
      <c r="C84" s="118"/>
      <c r="D84" s="118"/>
      <c r="E84" s="118"/>
      <c r="F84" s="118"/>
      <c r="G84" s="118"/>
    </row>
    <row r="85" spans="1:9">
      <c r="A85" s="118" t="s">
        <v>77</v>
      </c>
      <c r="B85" s="118"/>
      <c r="C85" s="118"/>
      <c r="D85" s="118"/>
      <c r="E85" s="118"/>
      <c r="F85" s="118"/>
      <c r="G85" s="118"/>
    </row>
    <row r="86" spans="1:9" ht="15.6" customHeight="1">
      <c r="A86" s="102" t="s">
        <v>286</v>
      </c>
      <c r="H86" s="119">
        <v>45942</v>
      </c>
      <c r="I86" s="103" t="s">
        <v>287</v>
      </c>
    </row>
    <row r="87" spans="1:9" ht="18.600000000000001" customHeight="1">
      <c r="A87" s="108" t="s">
        <v>288</v>
      </c>
    </row>
    <row r="88" spans="1:9" ht="14.45" customHeight="1">
      <c r="A88" s="108" t="s">
        <v>289</v>
      </c>
      <c r="E88" s="108" t="s">
        <v>290</v>
      </c>
      <c r="G88" s="104"/>
    </row>
    <row r="89" spans="1:9">
      <c r="A89" s="102" t="s">
        <v>427</v>
      </c>
      <c r="E89" s="102" t="s">
        <v>291</v>
      </c>
      <c r="F89" s="102" t="s">
        <v>400</v>
      </c>
      <c r="G89" s="104"/>
    </row>
    <row r="90" spans="1:9">
      <c r="A90" s="102" t="s">
        <v>426</v>
      </c>
      <c r="E90" s="102" t="s">
        <v>293</v>
      </c>
      <c r="F90" s="102" t="s">
        <v>401</v>
      </c>
      <c r="G90" s="104"/>
    </row>
    <row r="91" spans="1:9">
      <c r="A91" s="102" t="s">
        <v>292</v>
      </c>
      <c r="E91" s="102" t="s">
        <v>295</v>
      </c>
      <c r="F91" s="110" t="s">
        <v>402</v>
      </c>
      <c r="G91" s="104"/>
    </row>
    <row r="92" spans="1:9">
      <c r="A92" s="102" t="s">
        <v>294</v>
      </c>
      <c r="E92" s="102" t="s">
        <v>297</v>
      </c>
      <c r="F92" s="102" t="s">
        <v>61</v>
      </c>
      <c r="G92" s="104"/>
      <c r="H92" s="110"/>
    </row>
    <row r="93" spans="1:9">
      <c r="A93" s="102" t="s">
        <v>296</v>
      </c>
      <c r="E93" s="102" t="s">
        <v>299</v>
      </c>
      <c r="F93" s="102">
        <v>79197212118</v>
      </c>
      <c r="G93" s="104"/>
    </row>
    <row r="94" spans="1:9">
      <c r="A94" s="102" t="s">
        <v>298</v>
      </c>
      <c r="E94" s="104"/>
      <c r="F94" s="104"/>
      <c r="G94" s="104"/>
    </row>
    <row r="95" spans="1:9">
      <c r="A95" s="102" t="s">
        <v>300</v>
      </c>
    </row>
    <row r="96" spans="1:9">
      <c r="A96" s="102" t="s">
        <v>428</v>
      </c>
    </row>
    <row r="97" spans="1:9">
      <c r="A97" s="102" t="s">
        <v>301</v>
      </c>
    </row>
    <row r="98" spans="1:9" ht="20.45" customHeight="1">
      <c r="A98" s="108" t="s">
        <v>302</v>
      </c>
    </row>
    <row r="99" spans="1:9" ht="21.75" customHeight="1">
      <c r="A99" s="102" t="s">
        <v>422</v>
      </c>
      <c r="B99" s="102" t="s">
        <v>425</v>
      </c>
      <c r="F99" s="102" t="s">
        <v>423</v>
      </c>
      <c r="G99" s="102" t="s">
        <v>424</v>
      </c>
    </row>
    <row r="100" spans="1:9" ht="15.75" customHeight="1"/>
    <row r="101" spans="1:9" ht="21" customHeight="1">
      <c r="D101" s="106" t="s">
        <v>303</v>
      </c>
      <c r="E101" s="120"/>
    </row>
    <row r="102" spans="1:9" ht="15.75">
      <c r="C102" s="106" t="s">
        <v>304</v>
      </c>
      <c r="E102" s="120">
        <f>H2</f>
        <v>70</v>
      </c>
      <c r="G102" s="121"/>
      <c r="H102" s="122" t="s">
        <v>305</v>
      </c>
      <c r="I102" s="123">
        <f>I3</f>
        <v>45926</v>
      </c>
    </row>
    <row r="105" spans="1:9" ht="19.5" customHeight="1">
      <c r="A105" s="102" t="s">
        <v>306</v>
      </c>
    </row>
    <row r="106" spans="1:9">
      <c r="A106" s="102" t="s">
        <v>307</v>
      </c>
    </row>
    <row r="107" spans="1:9">
      <c r="A107" s="102" t="str">
        <f>F89</f>
        <v>Рызбаев Рустам Раисович</v>
      </c>
      <c r="F107" s="102" t="s">
        <v>308</v>
      </c>
    </row>
    <row r="108" spans="1:9">
      <c r="A108" s="102" t="s">
        <v>309</v>
      </c>
    </row>
    <row r="109" spans="1:9">
      <c r="A109" s="102" t="s">
        <v>310</v>
      </c>
    </row>
    <row r="110" spans="1:9">
      <c r="A110" s="102" t="s">
        <v>311</v>
      </c>
    </row>
    <row r="111" spans="1:9">
      <c r="A111" s="102" t="str">
        <f>A13</f>
        <v>г. Москва, Староватутинский проезд д.12 с13</v>
      </c>
      <c r="E111" s="102" t="str">
        <f>E13</f>
        <v xml:space="preserve"> - г.Сочи, Имеретинская низменность, Морской бульвар, д.1 - </v>
      </c>
    </row>
    <row r="112" spans="1:9">
      <c r="A112" s="102" t="str">
        <f>A14</f>
        <v>г. Москва, Староватутинский проезд д.12 с13</v>
      </c>
    </row>
    <row r="113" spans="1:9">
      <c r="A113" s="102" t="s">
        <v>312</v>
      </c>
    </row>
    <row r="115" spans="1:9" ht="17.45" customHeight="1" thickBot="1">
      <c r="A115" s="124"/>
      <c r="B115" s="125" t="s">
        <v>313</v>
      </c>
      <c r="C115" s="125"/>
      <c r="D115" s="125"/>
      <c r="E115" s="125"/>
      <c r="F115" s="125"/>
      <c r="G115" s="125"/>
      <c r="H115" s="125"/>
      <c r="I115" s="126"/>
    </row>
    <row r="116" spans="1:9" ht="16.350000000000001" customHeight="1" thickTop="1">
      <c r="A116" s="127">
        <v>1</v>
      </c>
      <c r="B116" s="128"/>
      <c r="C116" s="128"/>
      <c r="D116" s="128"/>
      <c r="E116" s="128"/>
      <c r="F116" s="128"/>
      <c r="G116" s="128"/>
      <c r="H116" s="128"/>
      <c r="I116" s="129"/>
    </row>
    <row r="117" spans="1:9" ht="16.350000000000001" customHeight="1">
      <c r="A117" s="130">
        <v>2</v>
      </c>
      <c r="B117" s="131"/>
      <c r="C117" s="131"/>
      <c r="D117" s="131"/>
      <c r="E117" s="131"/>
      <c r="F117" s="131"/>
      <c r="G117" s="131"/>
      <c r="H117" s="131"/>
      <c r="I117" s="132"/>
    </row>
    <row r="118" spans="1:9" ht="16.350000000000001" customHeight="1">
      <c r="A118" s="130">
        <v>3</v>
      </c>
      <c r="B118" s="131"/>
      <c r="C118" s="131"/>
      <c r="D118" s="131"/>
      <c r="E118" s="131"/>
      <c r="F118" s="131"/>
      <c r="G118" s="131"/>
      <c r="H118" s="131"/>
      <c r="I118" s="132"/>
    </row>
    <row r="119" spans="1:9" ht="16.350000000000001" customHeight="1">
      <c r="A119" s="130">
        <v>4</v>
      </c>
      <c r="B119" s="131"/>
      <c r="C119" s="131"/>
      <c r="D119" s="131"/>
      <c r="E119" s="131"/>
      <c r="F119" s="131"/>
      <c r="G119" s="131"/>
      <c r="H119" s="131"/>
      <c r="I119" s="132"/>
    </row>
    <row r="120" spans="1:9" ht="16.350000000000001" customHeight="1">
      <c r="A120" s="130">
        <v>5</v>
      </c>
      <c r="B120" s="131"/>
      <c r="C120" s="131"/>
      <c r="D120" s="131"/>
      <c r="E120" s="131"/>
      <c r="F120" s="131"/>
      <c r="G120" s="131"/>
      <c r="H120" s="131"/>
      <c r="I120" s="132"/>
    </row>
    <row r="121" spans="1:9" ht="16.350000000000001" customHeight="1">
      <c r="A121" s="130">
        <v>6</v>
      </c>
      <c r="B121" s="131"/>
      <c r="C121" s="131"/>
      <c r="D121" s="131"/>
      <c r="E121" s="131"/>
      <c r="F121" s="131"/>
      <c r="G121" s="131"/>
      <c r="H121" s="131"/>
      <c r="I121" s="132"/>
    </row>
    <row r="122" spans="1:9">
      <c r="A122" s="102" t="s">
        <v>314</v>
      </c>
    </row>
    <row r="123" spans="1:9">
      <c r="A123" s="102" t="s">
        <v>315</v>
      </c>
    </row>
    <row r="124" spans="1:9">
      <c r="A124" s="102" t="s">
        <v>316</v>
      </c>
    </row>
    <row r="125" spans="1:9">
      <c r="A125" s="102" t="s">
        <v>317</v>
      </c>
    </row>
    <row r="126" spans="1:9" ht="28.35" customHeight="1">
      <c r="A126" s="102" t="s">
        <v>318</v>
      </c>
    </row>
    <row r="127" spans="1:9" ht="13.35" customHeight="1">
      <c r="A127" s="102" t="s">
        <v>319</v>
      </c>
    </row>
    <row r="128" spans="1:9" ht="17.100000000000001" customHeight="1">
      <c r="A128" s="102" t="s">
        <v>320</v>
      </c>
    </row>
    <row r="129" spans="1:9" ht="28.35" customHeight="1">
      <c r="A129" s="102" t="s">
        <v>321</v>
      </c>
    </row>
    <row r="130" spans="1:9" ht="17.45" customHeight="1">
      <c r="A130" s="102" t="s">
        <v>320</v>
      </c>
    </row>
    <row r="131" spans="1:9" ht="28.35" customHeight="1">
      <c r="A131" s="102" t="s">
        <v>322</v>
      </c>
    </row>
    <row r="132" spans="1:9">
      <c r="A132" s="102" t="s">
        <v>323</v>
      </c>
    </row>
    <row r="133" spans="1:9" ht="17.45" customHeight="1">
      <c r="A133" s="102" t="s">
        <v>320</v>
      </c>
    </row>
    <row r="134" spans="1:9" ht="28.35" customHeight="1">
      <c r="A134" s="102" t="s">
        <v>324</v>
      </c>
    </row>
    <row r="135" spans="1:9" ht="14.45" customHeight="1">
      <c r="A135" s="102" t="s">
        <v>325</v>
      </c>
      <c r="G135" s="108">
        <f>H2</f>
        <v>70</v>
      </c>
      <c r="H135" s="133" t="s">
        <v>305</v>
      </c>
      <c r="I135" s="123">
        <f>I102</f>
        <v>45926</v>
      </c>
    </row>
    <row r="136" spans="1:9">
      <c r="A136" s="102" t="s">
        <v>326</v>
      </c>
    </row>
    <row r="137" spans="1:9" ht="33" customHeight="1">
      <c r="A137" s="102" t="s">
        <v>320</v>
      </c>
    </row>
    <row r="140" spans="1:9">
      <c r="H140" s="102" t="s">
        <v>327</v>
      </c>
    </row>
  </sheetData>
  <pageMargins left="0.11811023622047245" right="3.937007874015748E-2" top="0.77122047244094494" bottom="0.23622047244094491" header="0" footer="0.19685039370078741"/>
  <pageSetup paperSize="9" scale="96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1">
    <tabColor rgb="FFC00000"/>
  </sheetPr>
  <dimension ref="A1:DA398"/>
  <sheetViews>
    <sheetView tabSelected="1" zoomScaleNormal="100" workbookViewId="0">
      <pane ySplit="1" topLeftCell="A2" activePane="bottomLeft" state="frozen"/>
      <selection pane="bottomLeft" activeCell="M1" sqref="M1:M1048576"/>
    </sheetView>
  </sheetViews>
  <sheetFormatPr defaultColWidth="8.85546875" defaultRowHeight="15"/>
  <cols>
    <col min="1" max="1" width="5.28515625" style="97" customWidth="1"/>
    <col min="2" max="2" width="16.42578125" style="93" hidden="1" customWidth="1"/>
    <col min="3" max="3" width="34.28515625" style="187" bestFit="1" customWidth="1"/>
    <col min="4" max="4" width="16.28515625" style="135" bestFit="1" customWidth="1"/>
    <col min="5" max="5" width="17" style="135" bestFit="1" customWidth="1"/>
    <col min="6" max="6" width="7.7109375" style="202" customWidth="1"/>
    <col min="7" max="7" width="5.7109375" style="178" customWidth="1"/>
    <col min="8" max="8" width="9.140625" style="93" customWidth="1"/>
    <col min="9" max="9" width="31.42578125" style="35" customWidth="1"/>
    <col min="10" max="10" width="56.85546875" style="135" customWidth="1"/>
    <col min="11" max="11" width="32.42578125" style="35" customWidth="1"/>
    <col min="12" max="12" width="12.85546875" style="35" bestFit="1" customWidth="1"/>
    <col min="13" max="13" width="12.85546875" style="341" customWidth="1"/>
  </cols>
  <sheetData>
    <row r="1" spans="1:15" s="87" customFormat="1" ht="24" customHeight="1" thickBot="1">
      <c r="A1" s="96" t="s">
        <v>4</v>
      </c>
      <c r="B1" s="34" t="s">
        <v>5</v>
      </c>
      <c r="C1" s="181" t="s">
        <v>7</v>
      </c>
      <c r="D1" s="134" t="s">
        <v>9</v>
      </c>
      <c r="E1" s="134" t="s">
        <v>11</v>
      </c>
      <c r="F1" s="134" t="s">
        <v>535</v>
      </c>
      <c r="G1" s="176" t="s">
        <v>13</v>
      </c>
      <c r="H1" s="34" t="s">
        <v>15</v>
      </c>
      <c r="I1" s="34" t="s">
        <v>17</v>
      </c>
      <c r="J1" s="134" t="s">
        <v>19</v>
      </c>
      <c r="K1" s="34" t="s">
        <v>21</v>
      </c>
      <c r="L1" s="34" t="s">
        <v>23</v>
      </c>
      <c r="M1" s="34" t="s">
        <v>538</v>
      </c>
      <c r="O1" s="151">
        <f>SUM(H2:H98)</f>
        <v>936500</v>
      </c>
    </row>
    <row r="2" spans="1:15" s="88" customFormat="1" ht="15.75" thickTop="1">
      <c r="A2" s="197">
        <v>1</v>
      </c>
      <c r="B2" s="155"/>
      <c r="C2" s="182" t="s">
        <v>494</v>
      </c>
      <c r="D2" s="143">
        <v>79162941190</v>
      </c>
      <c r="E2" s="143" t="s">
        <v>134</v>
      </c>
      <c r="F2" s="198"/>
      <c r="G2" s="144" t="s">
        <v>94</v>
      </c>
      <c r="H2" s="144">
        <v>10000</v>
      </c>
      <c r="I2" s="145" t="s">
        <v>61</v>
      </c>
      <c r="J2" s="143" t="s">
        <v>495</v>
      </c>
      <c r="K2" s="145">
        <v>4617674047</v>
      </c>
      <c r="L2" s="101"/>
      <c r="M2" s="339"/>
      <c r="N2" s="337">
        <v>1</v>
      </c>
    </row>
    <row r="3" spans="1:15" s="295" customFormat="1">
      <c r="A3" s="290">
        <v>2</v>
      </c>
      <c r="B3" s="291"/>
      <c r="C3" s="292" t="s">
        <v>85</v>
      </c>
      <c r="D3" s="292" t="s">
        <v>86</v>
      </c>
      <c r="E3" s="292" t="s">
        <v>134</v>
      </c>
      <c r="F3" s="293"/>
      <c r="G3" s="291" t="s">
        <v>82</v>
      </c>
      <c r="H3" s="291">
        <v>18000</v>
      </c>
      <c r="I3" s="294" t="s">
        <v>388</v>
      </c>
      <c r="J3" s="292" t="s">
        <v>89</v>
      </c>
      <c r="K3" s="294"/>
      <c r="L3" s="294"/>
      <c r="M3" s="309"/>
      <c r="N3" s="337"/>
    </row>
    <row r="4" spans="1:15" s="295" customFormat="1">
      <c r="A4" s="290">
        <v>3</v>
      </c>
      <c r="B4" s="291"/>
      <c r="C4" s="292" t="s">
        <v>90</v>
      </c>
      <c r="D4" s="292" t="s">
        <v>86</v>
      </c>
      <c r="E4" s="292" t="s">
        <v>134</v>
      </c>
      <c r="F4" s="293"/>
      <c r="G4" s="291" t="s">
        <v>82</v>
      </c>
      <c r="H4" s="291"/>
      <c r="I4" s="294"/>
      <c r="J4" s="292" t="s">
        <v>89</v>
      </c>
      <c r="K4" s="294"/>
      <c r="L4" s="294"/>
      <c r="M4" s="309"/>
      <c r="N4" s="337"/>
    </row>
    <row r="5" spans="1:15" s="295" customFormat="1">
      <c r="A5" s="296">
        <v>4</v>
      </c>
      <c r="B5" s="297"/>
      <c r="C5" s="298" t="s">
        <v>480</v>
      </c>
      <c r="D5" s="298">
        <v>79671921632</v>
      </c>
      <c r="E5" s="298" t="s">
        <v>124</v>
      </c>
      <c r="F5" s="299"/>
      <c r="G5" s="300" t="s">
        <v>82</v>
      </c>
      <c r="H5" s="300">
        <v>10000</v>
      </c>
      <c r="I5" s="301" t="s">
        <v>61</v>
      </c>
      <c r="J5" s="298" t="s">
        <v>481</v>
      </c>
      <c r="K5" s="301"/>
      <c r="L5" s="301"/>
      <c r="M5" s="309"/>
      <c r="N5" s="337"/>
    </row>
    <row r="6" spans="1:15" s="295" customFormat="1">
      <c r="A6" s="290">
        <v>5</v>
      </c>
      <c r="B6" s="291"/>
      <c r="C6" s="292" t="s">
        <v>96</v>
      </c>
      <c r="D6" s="292" t="s">
        <v>97</v>
      </c>
      <c r="E6" s="292" t="s">
        <v>181</v>
      </c>
      <c r="F6" s="293"/>
      <c r="G6" s="291" t="s">
        <v>82</v>
      </c>
      <c r="H6" s="291">
        <v>9000</v>
      </c>
      <c r="I6" s="294" t="s">
        <v>384</v>
      </c>
      <c r="J6" s="292" t="s">
        <v>98</v>
      </c>
      <c r="K6" s="294"/>
      <c r="L6" s="294"/>
      <c r="M6" s="309"/>
      <c r="N6" s="337"/>
    </row>
    <row r="7" spans="1:15" s="295" customFormat="1">
      <c r="A7" s="296">
        <v>6</v>
      </c>
      <c r="B7" s="297"/>
      <c r="C7" s="298" t="s">
        <v>99</v>
      </c>
      <c r="D7" s="298" t="s">
        <v>100</v>
      </c>
      <c r="E7" s="298" t="s">
        <v>181</v>
      </c>
      <c r="F7" s="299" t="s">
        <v>536</v>
      </c>
      <c r="G7" s="300" t="s">
        <v>82</v>
      </c>
      <c r="H7" s="300">
        <v>10000</v>
      </c>
      <c r="I7" s="301" t="s">
        <v>61</v>
      </c>
      <c r="J7" s="298"/>
      <c r="K7" s="301"/>
      <c r="L7" s="301"/>
      <c r="M7" s="309"/>
      <c r="N7" s="337"/>
    </row>
    <row r="8" spans="1:15" s="310" customFormat="1">
      <c r="A8" s="296">
        <v>8</v>
      </c>
      <c r="B8" s="297"/>
      <c r="C8" s="298" t="s">
        <v>104</v>
      </c>
      <c r="D8" s="298" t="s">
        <v>105</v>
      </c>
      <c r="E8" s="298" t="s">
        <v>124</v>
      </c>
      <c r="F8" s="299"/>
      <c r="G8" s="311" t="s">
        <v>94</v>
      </c>
      <c r="H8" s="300">
        <v>10000</v>
      </c>
      <c r="I8" s="301" t="s">
        <v>61</v>
      </c>
      <c r="J8" s="298"/>
      <c r="K8" s="301"/>
      <c r="L8" s="294"/>
      <c r="M8" s="309"/>
      <c r="N8" s="337"/>
    </row>
    <row r="9" spans="1:15" s="264" customFormat="1">
      <c r="A9" s="243">
        <v>9</v>
      </c>
      <c r="B9" s="336"/>
      <c r="C9" s="242" t="s">
        <v>106</v>
      </c>
      <c r="D9" s="242" t="s">
        <v>107</v>
      </c>
      <c r="E9" s="242" t="s">
        <v>134</v>
      </c>
      <c r="F9" s="258"/>
      <c r="G9" s="257" t="s">
        <v>82</v>
      </c>
      <c r="H9" s="239">
        <v>18000</v>
      </c>
      <c r="I9" s="244" t="s">
        <v>383</v>
      </c>
      <c r="J9" s="242"/>
      <c r="K9" s="244"/>
      <c r="L9" s="286"/>
      <c r="M9" s="340"/>
      <c r="N9" s="337"/>
    </row>
    <row r="10" spans="1:15" s="88" customFormat="1" ht="15.75" customHeight="1">
      <c r="A10" s="197">
        <v>10</v>
      </c>
      <c r="B10" s="155"/>
      <c r="C10" s="143" t="s">
        <v>108</v>
      </c>
      <c r="D10" s="143" t="s">
        <v>109</v>
      </c>
      <c r="E10" s="143" t="s">
        <v>134</v>
      </c>
      <c r="F10" s="190"/>
      <c r="G10" s="178" t="s">
        <v>82</v>
      </c>
      <c r="H10" s="144"/>
      <c r="I10" s="145"/>
      <c r="J10" s="143"/>
      <c r="K10" s="145"/>
      <c r="L10" s="100"/>
      <c r="M10" s="339"/>
      <c r="N10" s="337">
        <v>1</v>
      </c>
    </row>
    <row r="11" spans="1:15" s="88" customFormat="1">
      <c r="A11" s="269">
        <v>11</v>
      </c>
      <c r="B11" s="270" t="s">
        <v>499</v>
      </c>
      <c r="C11" s="271" t="s">
        <v>500</v>
      </c>
      <c r="D11" s="162">
        <v>79153519871</v>
      </c>
      <c r="E11" s="162" t="s">
        <v>124</v>
      </c>
      <c r="F11" s="200" t="s">
        <v>536</v>
      </c>
      <c r="G11" s="177" t="s">
        <v>82</v>
      </c>
      <c r="H11" s="163">
        <v>10000</v>
      </c>
      <c r="I11" s="164" t="s">
        <v>61</v>
      </c>
      <c r="J11" s="162" t="s">
        <v>501</v>
      </c>
      <c r="K11" s="164" t="s">
        <v>502</v>
      </c>
      <c r="L11" s="101"/>
      <c r="M11" s="339"/>
      <c r="N11" s="337">
        <v>1</v>
      </c>
    </row>
    <row r="12" spans="1:15" s="295" customFormat="1">
      <c r="A12" s="296">
        <v>12</v>
      </c>
      <c r="B12" s="297"/>
      <c r="C12" s="298" t="s">
        <v>112</v>
      </c>
      <c r="D12" s="298" t="s">
        <v>113</v>
      </c>
      <c r="E12" s="298" t="s">
        <v>124</v>
      </c>
      <c r="F12" s="299"/>
      <c r="G12" s="300" t="s">
        <v>82</v>
      </c>
      <c r="H12" s="300">
        <v>9000</v>
      </c>
      <c r="I12" s="301" t="s">
        <v>384</v>
      </c>
      <c r="J12" s="298"/>
      <c r="K12" s="301"/>
      <c r="L12" s="301"/>
      <c r="M12" s="309"/>
      <c r="N12" s="337"/>
    </row>
    <row r="13" spans="1:15" s="264" customFormat="1">
      <c r="A13" s="256">
        <v>13</v>
      </c>
      <c r="B13" s="257" t="s">
        <v>503</v>
      </c>
      <c r="C13" s="259" t="s">
        <v>504</v>
      </c>
      <c r="D13" s="333">
        <v>89803920261</v>
      </c>
      <c r="E13" s="333" t="s">
        <v>134</v>
      </c>
      <c r="F13" s="258"/>
      <c r="G13" s="257" t="s">
        <v>94</v>
      </c>
      <c r="H13" s="265">
        <v>10000</v>
      </c>
      <c r="I13" s="286" t="s">
        <v>61</v>
      </c>
      <c r="J13" s="333" t="s">
        <v>505</v>
      </c>
      <c r="K13" s="263">
        <v>1416601445</v>
      </c>
      <c r="L13" s="286"/>
      <c r="M13" s="340"/>
      <c r="N13" s="337"/>
    </row>
    <row r="14" spans="1:15">
      <c r="A14" s="146">
        <v>14</v>
      </c>
      <c r="B14" s="148" t="s">
        <v>509</v>
      </c>
      <c r="C14" s="147" t="s">
        <v>510</v>
      </c>
      <c r="D14" s="147">
        <v>79039659901</v>
      </c>
      <c r="E14" s="147" t="s">
        <v>134</v>
      </c>
      <c r="F14" s="190"/>
      <c r="G14" s="178" t="s">
        <v>82</v>
      </c>
      <c r="H14" s="144">
        <v>10000</v>
      </c>
      <c r="I14" s="145" t="s">
        <v>61</v>
      </c>
      <c r="J14" s="147" t="s">
        <v>511</v>
      </c>
      <c r="K14" s="149" t="s">
        <v>512</v>
      </c>
      <c r="N14" s="337">
        <v>1</v>
      </c>
    </row>
    <row r="15" spans="1:15">
      <c r="A15" s="287">
        <v>15</v>
      </c>
      <c r="B15" s="288"/>
      <c r="C15" s="289" t="s">
        <v>118</v>
      </c>
      <c r="D15" s="138" t="s">
        <v>119</v>
      </c>
      <c r="E15" s="138" t="s">
        <v>134</v>
      </c>
      <c r="F15" s="197"/>
      <c r="G15" s="179" t="s">
        <v>82</v>
      </c>
      <c r="H15" s="139">
        <v>20000</v>
      </c>
      <c r="I15" s="140" t="s">
        <v>385</v>
      </c>
      <c r="J15" s="138"/>
      <c r="K15" s="140"/>
      <c r="N15" s="337">
        <v>1</v>
      </c>
    </row>
    <row r="16" spans="1:15" s="88" customFormat="1" ht="15.75" customHeight="1">
      <c r="A16" s="269">
        <v>16</v>
      </c>
      <c r="B16" s="270"/>
      <c r="C16" s="271" t="s">
        <v>121</v>
      </c>
      <c r="D16" s="143" t="s">
        <v>119</v>
      </c>
      <c r="E16" s="143" t="s">
        <v>134</v>
      </c>
      <c r="F16" s="198"/>
      <c r="G16" s="177" t="s">
        <v>82</v>
      </c>
      <c r="H16" s="144"/>
      <c r="I16" s="145"/>
      <c r="J16" s="143"/>
      <c r="K16" s="145"/>
      <c r="L16" s="140"/>
      <c r="M16" s="342"/>
      <c r="N16" s="337">
        <v>1</v>
      </c>
    </row>
    <row r="17" spans="1:14" s="310" customFormat="1">
      <c r="A17" s="296">
        <v>17</v>
      </c>
      <c r="B17" s="297"/>
      <c r="C17" s="298" t="s">
        <v>122</v>
      </c>
      <c r="D17" s="298" t="s">
        <v>123</v>
      </c>
      <c r="E17" s="298" t="s">
        <v>124</v>
      </c>
      <c r="F17" s="299"/>
      <c r="G17" s="300" t="s">
        <v>82</v>
      </c>
      <c r="H17" s="300">
        <v>10000</v>
      </c>
      <c r="I17" s="301" t="s">
        <v>61</v>
      </c>
      <c r="J17" s="298" t="s">
        <v>125</v>
      </c>
      <c r="K17" s="301"/>
      <c r="L17" s="301"/>
      <c r="M17" s="309"/>
      <c r="N17" s="337"/>
    </row>
    <row r="18" spans="1:14" s="310" customFormat="1">
      <c r="A18" s="296">
        <v>18</v>
      </c>
      <c r="B18" s="297"/>
      <c r="C18" s="298" t="s">
        <v>126</v>
      </c>
      <c r="D18" s="298" t="s">
        <v>127</v>
      </c>
      <c r="E18" s="298" t="s">
        <v>124</v>
      </c>
      <c r="F18" s="299"/>
      <c r="G18" s="300" t="s">
        <v>82</v>
      </c>
      <c r="H18" s="300">
        <v>10000</v>
      </c>
      <c r="I18" s="301" t="s">
        <v>61</v>
      </c>
      <c r="J18" s="298" t="s">
        <v>128</v>
      </c>
      <c r="K18" s="301"/>
      <c r="L18" s="301"/>
      <c r="M18" s="309"/>
      <c r="N18" s="337"/>
    </row>
    <row r="19" spans="1:14">
      <c r="A19" s="222">
        <v>19</v>
      </c>
      <c r="B19" s="245"/>
      <c r="C19" s="246" t="s">
        <v>129</v>
      </c>
      <c r="D19" s="246" t="s">
        <v>130</v>
      </c>
      <c r="E19" s="246" t="s">
        <v>124</v>
      </c>
      <c r="F19" s="227"/>
      <c r="G19" s="247" t="s">
        <v>82</v>
      </c>
      <c r="H19" s="248">
        <v>20000</v>
      </c>
      <c r="I19" s="249" t="s">
        <v>385</v>
      </c>
      <c r="J19" s="246" t="s">
        <v>131</v>
      </c>
      <c r="K19" s="250">
        <v>4509673300</v>
      </c>
      <c r="L19" s="101"/>
      <c r="M19" s="339"/>
      <c r="N19" s="337"/>
    </row>
    <row r="20" spans="1:14">
      <c r="A20" s="251">
        <v>20</v>
      </c>
      <c r="B20" s="252"/>
      <c r="C20" s="253" t="s">
        <v>373</v>
      </c>
      <c r="D20" s="253" t="s">
        <v>130</v>
      </c>
      <c r="E20" s="253" t="s">
        <v>124</v>
      </c>
      <c r="F20" s="254"/>
      <c r="G20" s="247" t="s">
        <v>82</v>
      </c>
      <c r="H20" s="247"/>
      <c r="I20" s="255"/>
      <c r="J20" s="253" t="s">
        <v>131</v>
      </c>
      <c r="K20" s="255"/>
      <c r="L20" s="100"/>
      <c r="M20" s="339"/>
      <c r="N20" s="337"/>
    </row>
    <row r="21" spans="1:14" s="264" customFormat="1">
      <c r="A21" s="281">
        <v>21</v>
      </c>
      <c r="B21" s="335"/>
      <c r="C21" s="283" t="s">
        <v>132</v>
      </c>
      <c r="D21" s="283" t="s">
        <v>133</v>
      </c>
      <c r="E21" s="283" t="s">
        <v>134</v>
      </c>
      <c r="F21" s="284"/>
      <c r="G21" s="265" t="s">
        <v>82</v>
      </c>
      <c r="H21" s="265">
        <v>10000</v>
      </c>
      <c r="I21" s="286" t="s">
        <v>61</v>
      </c>
      <c r="J21" s="283" t="s">
        <v>135</v>
      </c>
      <c r="K21" s="286">
        <v>4521005914</v>
      </c>
      <c r="L21" s="286"/>
      <c r="M21" s="340"/>
      <c r="N21" s="337"/>
    </row>
    <row r="22" spans="1:14" s="88" customFormat="1" ht="15.75" customHeight="1">
      <c r="A22" s="141">
        <v>22</v>
      </c>
      <c r="B22" s="142"/>
      <c r="C22" s="182" t="s">
        <v>136</v>
      </c>
      <c r="D22" s="143" t="s">
        <v>137</v>
      </c>
      <c r="E22" s="143" t="s">
        <v>134</v>
      </c>
      <c r="F22" s="190"/>
      <c r="G22" s="139" t="s">
        <v>94</v>
      </c>
      <c r="H22" s="144">
        <v>10000</v>
      </c>
      <c r="I22" s="145" t="s">
        <v>61</v>
      </c>
      <c r="J22" s="143" t="s">
        <v>138</v>
      </c>
      <c r="K22" s="145"/>
      <c r="L22" s="145"/>
      <c r="M22" s="342"/>
      <c r="N22" s="337">
        <v>1</v>
      </c>
    </row>
    <row r="23" spans="1:14" s="310" customFormat="1">
      <c r="A23" s="290">
        <v>23</v>
      </c>
      <c r="B23" s="291"/>
      <c r="C23" s="292" t="s">
        <v>139</v>
      </c>
      <c r="D23" s="292" t="s">
        <v>140</v>
      </c>
      <c r="E23" s="292" t="s">
        <v>124</v>
      </c>
      <c r="F23" s="293"/>
      <c r="G23" s="300" t="s">
        <v>82</v>
      </c>
      <c r="H23" s="291">
        <v>10000</v>
      </c>
      <c r="I23" s="294" t="s">
        <v>61</v>
      </c>
      <c r="J23" s="292" t="s">
        <v>141</v>
      </c>
      <c r="K23" s="294"/>
      <c r="L23" s="301"/>
      <c r="M23" s="309"/>
      <c r="N23" s="337"/>
    </row>
    <row r="24" spans="1:14" s="264" customFormat="1">
      <c r="A24" s="238">
        <v>24</v>
      </c>
      <c r="B24" s="238"/>
      <c r="C24" s="324" t="s">
        <v>142</v>
      </c>
      <c r="D24" s="238" t="s">
        <v>143</v>
      </c>
      <c r="E24" s="238" t="s">
        <v>134</v>
      </c>
      <c r="F24" s="256"/>
      <c r="G24" s="265" t="s">
        <v>82</v>
      </c>
      <c r="H24" s="238">
        <v>10000</v>
      </c>
      <c r="I24" s="238" t="s">
        <v>61</v>
      </c>
      <c r="J24" s="238" t="s">
        <v>144</v>
      </c>
      <c r="K24" s="238">
        <v>4607715506</v>
      </c>
      <c r="L24" s="263"/>
      <c r="M24" s="340"/>
      <c r="N24" s="337"/>
    </row>
    <row r="25" spans="1:14" s="264" customFormat="1">
      <c r="A25" s="238">
        <v>25</v>
      </c>
      <c r="B25" s="238"/>
      <c r="C25" s="324" t="s">
        <v>145</v>
      </c>
      <c r="D25" s="238" t="s">
        <v>146</v>
      </c>
      <c r="E25" s="238" t="s">
        <v>134</v>
      </c>
      <c r="F25" s="256"/>
      <c r="G25" s="265" t="s">
        <v>82</v>
      </c>
      <c r="H25" s="238">
        <v>10000</v>
      </c>
      <c r="I25" s="238" t="s">
        <v>61</v>
      </c>
      <c r="J25" s="238" t="s">
        <v>147</v>
      </c>
      <c r="K25" s="238">
        <v>4521551540</v>
      </c>
      <c r="L25" s="238"/>
      <c r="M25" s="343"/>
      <c r="N25" s="337"/>
    </row>
    <row r="26" spans="1:14" s="295" customFormat="1">
      <c r="A26" s="290">
        <v>26</v>
      </c>
      <c r="B26" s="291"/>
      <c r="C26" s="306" t="s">
        <v>148</v>
      </c>
      <c r="D26" s="292" t="s">
        <v>149</v>
      </c>
      <c r="E26" s="292" t="s">
        <v>150</v>
      </c>
      <c r="F26" s="293"/>
      <c r="G26" s="312" t="s">
        <v>94</v>
      </c>
      <c r="H26" s="291">
        <v>10000</v>
      </c>
      <c r="I26" s="294" t="s">
        <v>61</v>
      </c>
      <c r="J26" s="292" t="s">
        <v>151</v>
      </c>
      <c r="K26" s="294" t="s">
        <v>152</v>
      </c>
      <c r="L26" s="302">
        <v>44530</v>
      </c>
      <c r="M26" s="344"/>
      <c r="N26" s="337"/>
    </row>
    <row r="27" spans="1:14" s="295" customFormat="1">
      <c r="A27" s="296">
        <v>27</v>
      </c>
      <c r="B27" s="297"/>
      <c r="C27" s="298" t="s">
        <v>153</v>
      </c>
      <c r="D27" s="298" t="s">
        <v>154</v>
      </c>
      <c r="E27" s="298" t="s">
        <v>124</v>
      </c>
      <c r="F27" s="299"/>
      <c r="G27" s="300" t="s">
        <v>82</v>
      </c>
      <c r="H27" s="300">
        <v>10000</v>
      </c>
      <c r="I27" s="301" t="s">
        <v>61</v>
      </c>
      <c r="J27" s="298" t="s">
        <v>155</v>
      </c>
      <c r="K27" s="301" t="s">
        <v>156</v>
      </c>
      <c r="L27" s="294"/>
      <c r="M27" s="309"/>
      <c r="N27" s="337"/>
    </row>
    <row r="28" spans="1:14" s="295" customFormat="1">
      <c r="A28" s="290">
        <v>28</v>
      </c>
      <c r="B28" s="291"/>
      <c r="C28" s="306" t="s">
        <v>157</v>
      </c>
      <c r="D28" s="292" t="s">
        <v>158</v>
      </c>
      <c r="E28" s="292" t="s">
        <v>150</v>
      </c>
      <c r="F28" s="293"/>
      <c r="G28" s="312" t="s">
        <v>94</v>
      </c>
      <c r="H28" s="291">
        <v>10000</v>
      </c>
      <c r="I28" s="294" t="s">
        <v>61</v>
      </c>
      <c r="J28" s="292" t="s">
        <v>159</v>
      </c>
      <c r="K28" s="294"/>
      <c r="L28" s="301"/>
      <c r="M28" s="309"/>
      <c r="N28" s="337"/>
    </row>
    <row r="29" spans="1:14" s="295" customFormat="1">
      <c r="A29" s="296">
        <v>29</v>
      </c>
      <c r="B29" s="297"/>
      <c r="C29" s="313" t="s">
        <v>160</v>
      </c>
      <c r="D29" s="298" t="s">
        <v>161</v>
      </c>
      <c r="E29" s="298" t="s">
        <v>124</v>
      </c>
      <c r="F29" s="299"/>
      <c r="G29" s="300" t="s">
        <v>94</v>
      </c>
      <c r="H29" s="300">
        <v>10000</v>
      </c>
      <c r="I29" s="301" t="s">
        <v>61</v>
      </c>
      <c r="J29" s="298" t="s">
        <v>162</v>
      </c>
      <c r="K29" s="301" t="s">
        <v>163</v>
      </c>
      <c r="L29" s="294"/>
      <c r="M29" s="309"/>
      <c r="N29" s="337"/>
    </row>
    <row r="30" spans="1:14" s="332" customFormat="1">
      <c r="A30" s="325">
        <v>30</v>
      </c>
      <c r="B30" s="326"/>
      <c r="C30" s="327" t="s">
        <v>164</v>
      </c>
      <c r="D30" s="327" t="s">
        <v>165</v>
      </c>
      <c r="E30" s="327" t="s">
        <v>124</v>
      </c>
      <c r="F30" s="328">
        <v>12</v>
      </c>
      <c r="G30" s="329" t="s">
        <v>82</v>
      </c>
      <c r="H30" s="326">
        <v>10000</v>
      </c>
      <c r="I30" s="330" t="s">
        <v>61</v>
      </c>
      <c r="J30" s="327" t="s">
        <v>166</v>
      </c>
      <c r="K30" s="330"/>
      <c r="L30" s="331"/>
      <c r="M30" s="345"/>
      <c r="N30" s="337"/>
    </row>
    <row r="31" spans="1:14" s="264" customFormat="1">
      <c r="A31" s="238">
        <v>31</v>
      </c>
      <c r="B31" s="239"/>
      <c r="C31" s="242" t="s">
        <v>167</v>
      </c>
      <c r="D31" s="241" t="s">
        <v>168</v>
      </c>
      <c r="E31" s="242" t="s">
        <v>134</v>
      </c>
      <c r="F31" s="258"/>
      <c r="G31" s="265" t="s">
        <v>82</v>
      </c>
      <c r="H31" s="239">
        <v>9000</v>
      </c>
      <c r="I31" s="244" t="s">
        <v>384</v>
      </c>
      <c r="J31" s="242" t="s">
        <v>169</v>
      </c>
      <c r="K31" s="244">
        <v>4508594233</v>
      </c>
      <c r="L31" s="263"/>
      <c r="M31" s="340"/>
      <c r="N31" s="337"/>
    </row>
    <row r="32" spans="1:14">
      <c r="A32" s="136">
        <v>32</v>
      </c>
      <c r="B32" s="139"/>
      <c r="C32" s="138" t="s">
        <v>170</v>
      </c>
      <c r="D32" s="153" t="s">
        <v>171</v>
      </c>
      <c r="E32" s="138" t="s">
        <v>134</v>
      </c>
      <c r="F32" s="190"/>
      <c r="G32" s="177" t="s">
        <v>82</v>
      </c>
      <c r="H32" s="139">
        <v>9000</v>
      </c>
      <c r="I32" s="140" t="s">
        <v>384</v>
      </c>
      <c r="J32" s="138" t="s">
        <v>172</v>
      </c>
      <c r="K32" s="140">
        <v>4507</v>
      </c>
      <c r="L32" s="99">
        <v>38981</v>
      </c>
      <c r="M32" s="95"/>
      <c r="N32" s="338">
        <v>1</v>
      </c>
    </row>
    <row r="33" spans="1:14">
      <c r="A33" s="238">
        <v>33</v>
      </c>
      <c r="B33" s="239"/>
      <c r="C33" s="242" t="s">
        <v>173</v>
      </c>
      <c r="D33" s="241" t="s">
        <v>174</v>
      </c>
      <c r="E33" s="242" t="s">
        <v>134</v>
      </c>
      <c r="F33" s="258"/>
      <c r="G33" s="265" t="s">
        <v>82</v>
      </c>
      <c r="H33" s="239">
        <v>19000</v>
      </c>
      <c r="I33" s="244" t="s">
        <v>386</v>
      </c>
      <c r="J33" s="242" t="s">
        <v>175</v>
      </c>
      <c r="K33" s="244">
        <v>402799391</v>
      </c>
      <c r="L33" s="99">
        <v>38176</v>
      </c>
      <c r="M33" s="346"/>
      <c r="N33" s="337"/>
    </row>
    <row r="34" spans="1:14">
      <c r="A34" s="238">
        <v>34</v>
      </c>
      <c r="B34" s="239"/>
      <c r="C34" s="242" t="s">
        <v>176</v>
      </c>
      <c r="D34" s="241" t="s">
        <v>177</v>
      </c>
      <c r="E34" s="242" t="s">
        <v>134</v>
      </c>
      <c r="F34" s="258"/>
      <c r="G34" s="265" t="s">
        <v>82</v>
      </c>
      <c r="H34" s="239"/>
      <c r="I34" s="244"/>
      <c r="J34" s="242" t="s">
        <v>178</v>
      </c>
      <c r="K34" s="244"/>
      <c r="L34" s="99"/>
      <c r="M34" s="346"/>
      <c r="N34" s="337"/>
    </row>
    <row r="35" spans="1:14" s="295" customFormat="1">
      <c r="A35" s="296">
        <v>35</v>
      </c>
      <c r="B35" s="297"/>
      <c r="C35" s="298" t="s">
        <v>179</v>
      </c>
      <c r="D35" s="298" t="s">
        <v>180</v>
      </c>
      <c r="E35" s="298" t="s">
        <v>181</v>
      </c>
      <c r="F35" s="299"/>
      <c r="G35" s="300" t="s">
        <v>82</v>
      </c>
      <c r="H35" s="300">
        <v>10000</v>
      </c>
      <c r="I35" s="301" t="s">
        <v>61</v>
      </c>
      <c r="J35" s="298"/>
      <c r="K35" s="301"/>
      <c r="L35" s="319"/>
      <c r="M35" s="309"/>
      <c r="N35" s="337"/>
    </row>
    <row r="36" spans="1:14" s="295" customFormat="1">
      <c r="A36" s="302">
        <v>36</v>
      </c>
      <c r="B36" s="312"/>
      <c r="C36" s="315" t="s">
        <v>182</v>
      </c>
      <c r="D36" s="316" t="s">
        <v>183</v>
      </c>
      <c r="E36" s="317" t="s">
        <v>134</v>
      </c>
      <c r="F36" s="318" t="s">
        <v>536</v>
      </c>
      <c r="G36" s="312" t="s">
        <v>94</v>
      </c>
      <c r="H36" s="312">
        <v>9000</v>
      </c>
      <c r="I36" s="319" t="s">
        <v>384</v>
      </c>
      <c r="J36" s="317" t="s">
        <v>184</v>
      </c>
      <c r="K36" s="319" t="s">
        <v>185</v>
      </c>
      <c r="L36" s="301"/>
      <c r="M36" s="309"/>
      <c r="N36" s="337"/>
    </row>
    <row r="37" spans="1:14">
      <c r="A37" s="238">
        <v>37</v>
      </c>
      <c r="B37" s="239"/>
      <c r="C37" s="240" t="s">
        <v>186</v>
      </c>
      <c r="D37" s="241" t="s">
        <v>187</v>
      </c>
      <c r="E37" s="242" t="s">
        <v>134</v>
      </c>
      <c r="F37" s="243"/>
      <c r="G37" s="239" t="s">
        <v>94</v>
      </c>
      <c r="H37" s="239">
        <v>9000</v>
      </c>
      <c r="I37" s="244" t="s">
        <v>384</v>
      </c>
      <c r="J37" s="242" t="s">
        <v>188</v>
      </c>
      <c r="K37" s="244">
        <v>4606118688</v>
      </c>
      <c r="L37" s="99">
        <v>44525</v>
      </c>
      <c r="M37" s="346"/>
      <c r="N37" s="337"/>
    </row>
    <row r="38" spans="1:14">
      <c r="A38" s="269">
        <v>38</v>
      </c>
      <c r="B38" s="270"/>
      <c r="C38" s="271" t="s">
        <v>189</v>
      </c>
      <c r="D38" s="162" t="s">
        <v>190</v>
      </c>
      <c r="E38" s="162" t="s">
        <v>181</v>
      </c>
      <c r="F38" s="200"/>
      <c r="G38" s="177" t="s">
        <v>82</v>
      </c>
      <c r="H38" s="163">
        <v>9000</v>
      </c>
      <c r="I38" s="164" t="s">
        <v>384</v>
      </c>
      <c r="J38" s="162"/>
      <c r="K38" s="164"/>
      <c r="L38" s="99">
        <v>45598</v>
      </c>
      <c r="M38" s="346"/>
      <c r="N38" s="337">
        <v>1</v>
      </c>
    </row>
    <row r="39" spans="1:14" s="295" customFormat="1">
      <c r="A39" s="290">
        <v>39</v>
      </c>
      <c r="B39" s="291"/>
      <c r="C39" s="292" t="s">
        <v>356</v>
      </c>
      <c r="D39" s="292">
        <v>89778591330</v>
      </c>
      <c r="E39" s="292" t="s">
        <v>150</v>
      </c>
      <c r="F39" s="314"/>
      <c r="G39" s="291" t="s">
        <v>82</v>
      </c>
      <c r="H39" s="291">
        <v>10000</v>
      </c>
      <c r="I39" s="294" t="s">
        <v>61</v>
      </c>
      <c r="J39" s="292" t="s">
        <v>357</v>
      </c>
      <c r="K39" s="294" t="s">
        <v>358</v>
      </c>
      <c r="L39" s="301"/>
      <c r="M39" s="309"/>
      <c r="N39" s="337"/>
    </row>
    <row r="40" spans="1:14" s="264" customFormat="1">
      <c r="A40" s="238">
        <v>40</v>
      </c>
      <c r="B40" s="239"/>
      <c r="C40" s="242" t="s">
        <v>492</v>
      </c>
      <c r="D40" s="241"/>
      <c r="E40" s="242" t="s">
        <v>134</v>
      </c>
      <c r="F40" s="258"/>
      <c r="G40" s="257" t="s">
        <v>82</v>
      </c>
      <c r="H40" s="239">
        <v>60000</v>
      </c>
      <c r="I40" s="244" t="s">
        <v>387</v>
      </c>
      <c r="J40" s="242" t="s">
        <v>493</v>
      </c>
      <c r="K40" s="244">
        <v>4607526085</v>
      </c>
      <c r="L40" s="263"/>
      <c r="M40" s="340"/>
      <c r="N40" s="337"/>
    </row>
    <row r="41" spans="1:14" s="264" customFormat="1">
      <c r="A41" s="238">
        <v>41</v>
      </c>
      <c r="B41" s="239"/>
      <c r="C41" s="242" t="s">
        <v>368</v>
      </c>
      <c r="D41" s="241"/>
      <c r="E41" s="242" t="s">
        <v>134</v>
      </c>
      <c r="F41" s="258"/>
      <c r="G41" s="257" t="s">
        <v>82</v>
      </c>
      <c r="H41" s="239"/>
      <c r="I41" s="244"/>
      <c r="J41" s="242"/>
      <c r="K41" s="244"/>
      <c r="L41" s="244"/>
      <c r="M41" s="340"/>
      <c r="N41" s="337"/>
    </row>
    <row r="42" spans="1:14" s="264" customFormat="1">
      <c r="A42" s="238">
        <v>42</v>
      </c>
      <c r="B42" s="239"/>
      <c r="C42" s="242" t="s">
        <v>369</v>
      </c>
      <c r="D42" s="241"/>
      <c r="E42" s="242" t="s">
        <v>134</v>
      </c>
      <c r="F42" s="258"/>
      <c r="G42" s="257" t="s">
        <v>82</v>
      </c>
      <c r="H42" s="239"/>
      <c r="I42" s="244"/>
      <c r="J42" s="242"/>
      <c r="K42" s="244"/>
      <c r="L42" s="244"/>
      <c r="M42" s="340"/>
      <c r="N42" s="337"/>
    </row>
    <row r="43" spans="1:14" s="264" customFormat="1">
      <c r="A43" s="238">
        <v>43</v>
      </c>
      <c r="B43" s="239"/>
      <c r="C43" s="242" t="s">
        <v>191</v>
      </c>
      <c r="D43" s="241"/>
      <c r="E43" s="242" t="s">
        <v>134</v>
      </c>
      <c r="F43" s="258"/>
      <c r="G43" s="257" t="s">
        <v>82</v>
      </c>
      <c r="H43" s="239"/>
      <c r="I43" s="244"/>
      <c r="J43" s="242"/>
      <c r="K43" s="244"/>
      <c r="L43" s="244"/>
      <c r="M43" s="340"/>
      <c r="N43" s="337"/>
    </row>
    <row r="44" spans="1:14" s="264" customFormat="1">
      <c r="A44" s="238">
        <v>44</v>
      </c>
      <c r="B44" s="239"/>
      <c r="C44" s="242" t="s">
        <v>366</v>
      </c>
      <c r="D44" s="241"/>
      <c r="E44" s="242" t="s">
        <v>134</v>
      </c>
      <c r="F44" s="258"/>
      <c r="G44" s="257" t="s">
        <v>82</v>
      </c>
      <c r="H44" s="239"/>
      <c r="I44" s="244"/>
      <c r="J44" s="242"/>
      <c r="K44" s="244"/>
      <c r="L44" s="244"/>
      <c r="M44" s="340"/>
      <c r="N44" s="337"/>
    </row>
    <row r="45" spans="1:14" s="264" customFormat="1">
      <c r="A45" s="238">
        <v>45</v>
      </c>
      <c r="B45" s="239"/>
      <c r="C45" s="242" t="s">
        <v>367</v>
      </c>
      <c r="D45" s="241"/>
      <c r="E45" s="242" t="s">
        <v>134</v>
      </c>
      <c r="F45" s="258"/>
      <c r="G45" s="257" t="s">
        <v>82</v>
      </c>
      <c r="H45" s="239"/>
      <c r="I45" s="244"/>
      <c r="J45" s="242"/>
      <c r="K45" s="244"/>
      <c r="L45" s="244"/>
      <c r="M45" s="340"/>
      <c r="N45" s="337"/>
    </row>
    <row r="46" spans="1:14" s="264" customFormat="1">
      <c r="A46" s="238">
        <v>46</v>
      </c>
      <c r="B46" s="239"/>
      <c r="C46" s="240" t="s">
        <v>192</v>
      </c>
      <c r="D46" s="241" t="s">
        <v>193</v>
      </c>
      <c r="E46" s="242" t="s">
        <v>134</v>
      </c>
      <c r="F46" s="243"/>
      <c r="G46" s="239" t="s">
        <v>94</v>
      </c>
      <c r="H46" s="239">
        <v>10000</v>
      </c>
      <c r="I46" s="244" t="s">
        <v>61</v>
      </c>
      <c r="J46" s="242" t="s">
        <v>194</v>
      </c>
      <c r="K46" s="244"/>
      <c r="L46" s="244"/>
      <c r="M46" s="340"/>
      <c r="N46" s="337"/>
    </row>
    <row r="47" spans="1:14">
      <c r="A47" s="232">
        <v>48</v>
      </c>
      <c r="B47" s="233"/>
      <c r="C47" s="234" t="s">
        <v>195</v>
      </c>
      <c r="D47" s="168" t="s">
        <v>196</v>
      </c>
      <c r="E47" s="168" t="s">
        <v>124</v>
      </c>
      <c r="F47" s="199"/>
      <c r="G47" s="148" t="s">
        <v>94</v>
      </c>
      <c r="H47" s="166">
        <v>9000</v>
      </c>
      <c r="I47" s="169" t="s">
        <v>384</v>
      </c>
      <c r="J47" s="203" t="s">
        <v>490</v>
      </c>
      <c r="K47" s="169">
        <v>7505708544</v>
      </c>
      <c r="L47" s="196"/>
      <c r="N47" s="337">
        <v>1</v>
      </c>
    </row>
    <row r="48" spans="1:14" s="295" customFormat="1">
      <c r="A48" s="290">
        <v>49</v>
      </c>
      <c r="B48" s="307"/>
      <c r="C48" s="308" t="s">
        <v>197</v>
      </c>
      <c r="D48" s="292" t="s">
        <v>198</v>
      </c>
      <c r="E48" s="292" t="s">
        <v>124</v>
      </c>
      <c r="F48" s="293" t="s">
        <v>536</v>
      </c>
      <c r="G48" s="291" t="s">
        <v>94</v>
      </c>
      <c r="H48" s="291">
        <v>10000</v>
      </c>
      <c r="I48" s="294" t="s">
        <v>61</v>
      </c>
      <c r="J48" s="309" t="s">
        <v>199</v>
      </c>
      <c r="K48" s="294"/>
      <c r="L48" s="294"/>
      <c r="M48" s="309"/>
      <c r="N48" s="337"/>
    </row>
    <row r="49" spans="1:14" s="264" customFormat="1">
      <c r="A49" s="281">
        <v>50</v>
      </c>
      <c r="B49" s="265"/>
      <c r="C49" s="283" t="s">
        <v>328</v>
      </c>
      <c r="D49" s="323">
        <v>89777203619</v>
      </c>
      <c r="E49" s="283" t="s">
        <v>134</v>
      </c>
      <c r="F49" s="284"/>
      <c r="G49" s="265" t="s">
        <v>82</v>
      </c>
      <c r="H49" s="265">
        <v>10000</v>
      </c>
      <c r="I49" s="286" t="s">
        <v>61</v>
      </c>
      <c r="J49" s="283" t="s">
        <v>329</v>
      </c>
      <c r="K49" s="286">
        <v>4615960982</v>
      </c>
      <c r="L49" s="263"/>
      <c r="M49" s="340"/>
      <c r="N49" s="337"/>
    </row>
    <row r="50" spans="1:14">
      <c r="A50" s="320">
        <v>51</v>
      </c>
      <c r="B50" s="321" t="s">
        <v>331</v>
      </c>
      <c r="C50" s="322" t="s">
        <v>332</v>
      </c>
      <c r="D50" s="157">
        <v>89999876652</v>
      </c>
      <c r="E50" s="157" t="s">
        <v>150</v>
      </c>
      <c r="F50" s="201"/>
      <c r="G50" s="139" t="s">
        <v>94</v>
      </c>
      <c r="H50" s="158">
        <v>10000</v>
      </c>
      <c r="I50" s="159" t="s">
        <v>61</v>
      </c>
      <c r="J50" s="157" t="s">
        <v>333</v>
      </c>
      <c r="K50" s="159"/>
      <c r="L50" s="98"/>
      <c r="M50" s="346"/>
      <c r="N50" s="337">
        <v>1</v>
      </c>
    </row>
    <row r="51" spans="1:14" s="264" customFormat="1">
      <c r="A51" s="256">
        <v>52</v>
      </c>
      <c r="B51" s="257" t="s">
        <v>334</v>
      </c>
      <c r="C51" s="333" t="s">
        <v>335</v>
      </c>
      <c r="D51" s="334">
        <v>79100841765</v>
      </c>
      <c r="E51" s="242" t="s">
        <v>134</v>
      </c>
      <c r="F51" s="258"/>
      <c r="G51" s="257" t="s">
        <v>82</v>
      </c>
      <c r="H51" s="257">
        <v>10000</v>
      </c>
      <c r="I51" s="263" t="s">
        <v>61</v>
      </c>
      <c r="J51" s="333" t="s">
        <v>336</v>
      </c>
      <c r="K51" s="263"/>
      <c r="L51" s="244"/>
      <c r="M51" s="340"/>
      <c r="N51" s="337"/>
    </row>
    <row r="52" spans="1:14" s="264" customFormat="1">
      <c r="A52" s="238">
        <v>53</v>
      </c>
      <c r="B52" s="239" t="s">
        <v>337</v>
      </c>
      <c r="C52" s="242" t="s">
        <v>338</v>
      </c>
      <c r="D52" s="241">
        <v>79859040213</v>
      </c>
      <c r="E52" s="242" t="s">
        <v>134</v>
      </c>
      <c r="F52" s="243" t="s">
        <v>536</v>
      </c>
      <c r="G52" s="239" t="s">
        <v>82</v>
      </c>
      <c r="H52" s="239">
        <v>10000</v>
      </c>
      <c r="I52" s="244" t="s">
        <v>61</v>
      </c>
      <c r="J52" s="242" t="s">
        <v>339</v>
      </c>
      <c r="K52" s="244">
        <v>704334673</v>
      </c>
      <c r="L52" s="263"/>
      <c r="M52" s="340"/>
      <c r="N52" s="337"/>
    </row>
    <row r="53" spans="1:14" s="264" customFormat="1">
      <c r="A53" s="238">
        <v>54</v>
      </c>
      <c r="B53" s="239" t="s">
        <v>340</v>
      </c>
      <c r="C53" s="240" t="s">
        <v>341</v>
      </c>
      <c r="D53" s="241" t="s">
        <v>346</v>
      </c>
      <c r="E53" s="242" t="s">
        <v>134</v>
      </c>
      <c r="F53" s="243"/>
      <c r="G53" s="239" t="s">
        <v>94</v>
      </c>
      <c r="H53" s="239">
        <v>20000</v>
      </c>
      <c r="I53" s="244" t="s">
        <v>385</v>
      </c>
      <c r="J53" s="242" t="s">
        <v>342</v>
      </c>
      <c r="K53" s="244" t="s">
        <v>343</v>
      </c>
      <c r="L53" s="244"/>
      <c r="M53" s="340"/>
      <c r="N53" s="337"/>
    </row>
    <row r="54" spans="1:14" s="264" customFormat="1">
      <c r="A54" s="238">
        <v>55</v>
      </c>
      <c r="B54" s="239" t="s">
        <v>344</v>
      </c>
      <c r="C54" s="240" t="s">
        <v>345</v>
      </c>
      <c r="D54" s="242" t="s">
        <v>346</v>
      </c>
      <c r="E54" s="242" t="s">
        <v>134</v>
      </c>
      <c r="F54" s="243"/>
      <c r="G54" s="239" t="s">
        <v>94</v>
      </c>
      <c r="H54" s="239"/>
      <c r="I54" s="244"/>
      <c r="J54" s="242" t="s">
        <v>347</v>
      </c>
      <c r="K54" s="244"/>
      <c r="L54" s="244"/>
      <c r="M54" s="340"/>
      <c r="N54" s="337"/>
    </row>
    <row r="55" spans="1:14">
      <c r="A55" s="281">
        <v>56</v>
      </c>
      <c r="B55" s="265" t="s">
        <v>348</v>
      </c>
      <c r="C55" s="282" t="s">
        <v>349</v>
      </c>
      <c r="D55" s="283" t="s">
        <v>350</v>
      </c>
      <c r="E55" s="283" t="s">
        <v>150</v>
      </c>
      <c r="F55" s="284"/>
      <c r="G55" s="285" t="s">
        <v>94</v>
      </c>
      <c r="H55" s="265">
        <v>9000</v>
      </c>
      <c r="I55" s="286" t="s">
        <v>384</v>
      </c>
      <c r="J55" s="283" t="s">
        <v>351</v>
      </c>
      <c r="K55" s="286" t="s">
        <v>352</v>
      </c>
      <c r="L55" s="99"/>
      <c r="M55" s="346"/>
      <c r="N55" s="337"/>
    </row>
    <row r="56" spans="1:14">
      <c r="A56" s="260">
        <v>57</v>
      </c>
      <c r="B56" s="261" t="s">
        <v>353</v>
      </c>
      <c r="C56" s="262" t="s">
        <v>354</v>
      </c>
      <c r="D56" s="168">
        <v>79160601089</v>
      </c>
      <c r="E56" s="168" t="s">
        <v>124</v>
      </c>
      <c r="F56" s="199"/>
      <c r="G56" s="177" t="s">
        <v>82</v>
      </c>
      <c r="H56" s="166">
        <v>10000</v>
      </c>
      <c r="I56" s="169" t="s">
        <v>61</v>
      </c>
      <c r="J56" s="168" t="s">
        <v>355</v>
      </c>
      <c r="K56" s="169"/>
      <c r="L56" s="164"/>
      <c r="M56" s="203"/>
      <c r="N56" s="337">
        <v>1</v>
      </c>
    </row>
    <row r="57" spans="1:14" s="264" customFormat="1">
      <c r="A57" s="281">
        <v>58</v>
      </c>
      <c r="B57" s="265" t="s">
        <v>359</v>
      </c>
      <c r="C57" s="282" t="s">
        <v>360</v>
      </c>
      <c r="D57" s="283">
        <v>79032815313</v>
      </c>
      <c r="E57" s="283" t="s">
        <v>134</v>
      </c>
      <c r="F57" s="284"/>
      <c r="G57" s="265" t="s">
        <v>94</v>
      </c>
      <c r="H57" s="265">
        <v>10000</v>
      </c>
      <c r="I57" s="286" t="s">
        <v>61</v>
      </c>
      <c r="J57" s="283" t="s">
        <v>361</v>
      </c>
      <c r="K57" s="286" t="s">
        <v>362</v>
      </c>
      <c r="L57" s="263"/>
      <c r="M57" s="340"/>
      <c r="N57" s="337"/>
    </row>
    <row r="58" spans="1:14" s="295" customFormat="1">
      <c r="A58" s="296">
        <v>59</v>
      </c>
      <c r="B58" s="297" t="s">
        <v>363</v>
      </c>
      <c r="C58" s="298" t="s">
        <v>365</v>
      </c>
      <c r="D58" s="298">
        <v>89373638799</v>
      </c>
      <c r="E58" s="298" t="s">
        <v>124</v>
      </c>
      <c r="F58" s="299"/>
      <c r="G58" s="300" t="s">
        <v>82</v>
      </c>
      <c r="H58" s="300">
        <v>10000</v>
      </c>
      <c r="I58" s="301" t="s">
        <v>61</v>
      </c>
      <c r="J58" s="298" t="s">
        <v>364</v>
      </c>
      <c r="K58" s="301">
        <v>8005261502</v>
      </c>
      <c r="L58" s="301"/>
      <c r="M58" s="309"/>
      <c r="N58" s="337"/>
    </row>
    <row r="59" spans="1:14" s="295" customFormat="1">
      <c r="A59" s="296">
        <v>60</v>
      </c>
      <c r="B59" s="297" t="s">
        <v>370</v>
      </c>
      <c r="C59" s="313" t="s">
        <v>371</v>
      </c>
      <c r="D59" s="298">
        <v>79160536196</v>
      </c>
      <c r="E59" s="298" t="s">
        <v>124</v>
      </c>
      <c r="F59" s="299"/>
      <c r="G59" s="300" t="s">
        <v>94</v>
      </c>
      <c r="H59" s="300">
        <v>10000</v>
      </c>
      <c r="I59" s="301" t="s">
        <v>61</v>
      </c>
      <c r="J59" s="298" t="s">
        <v>372</v>
      </c>
      <c r="K59" s="301">
        <v>4521425299</v>
      </c>
      <c r="L59" s="301"/>
      <c r="M59" s="309"/>
      <c r="N59" s="337"/>
    </row>
    <row r="60" spans="1:14" s="264" customFormat="1">
      <c r="A60" s="281">
        <v>62</v>
      </c>
      <c r="B60" s="265" t="s">
        <v>374</v>
      </c>
      <c r="C60" s="283" t="s">
        <v>375</v>
      </c>
      <c r="D60" s="283">
        <v>79267772233</v>
      </c>
      <c r="E60" s="283" t="s">
        <v>134</v>
      </c>
      <c r="F60" s="284"/>
      <c r="G60" s="265" t="s">
        <v>82</v>
      </c>
      <c r="H60" s="265">
        <v>20000</v>
      </c>
      <c r="I60" s="286" t="s">
        <v>385</v>
      </c>
      <c r="J60" s="283" t="s">
        <v>376</v>
      </c>
      <c r="K60" s="286" t="s">
        <v>377</v>
      </c>
      <c r="L60" s="286"/>
      <c r="M60" s="340"/>
      <c r="N60" s="337"/>
    </row>
    <row r="61" spans="1:14" s="264" customFormat="1">
      <c r="A61" s="281">
        <v>63</v>
      </c>
      <c r="B61" s="265"/>
      <c r="C61" s="282" t="s">
        <v>382</v>
      </c>
      <c r="D61" s="283">
        <v>79267772233</v>
      </c>
      <c r="E61" s="283" t="s">
        <v>134</v>
      </c>
      <c r="F61" s="284"/>
      <c r="G61" s="265" t="s">
        <v>82</v>
      </c>
      <c r="H61" s="265"/>
      <c r="I61" s="286"/>
      <c r="J61" s="283" t="s">
        <v>378</v>
      </c>
      <c r="K61" s="286" t="s">
        <v>377</v>
      </c>
      <c r="L61" s="263"/>
      <c r="M61" s="340"/>
      <c r="N61" s="337"/>
    </row>
    <row r="62" spans="1:14">
      <c r="A62" s="269">
        <v>64</v>
      </c>
      <c r="B62" s="276" t="s">
        <v>379</v>
      </c>
      <c r="C62" s="277" t="s">
        <v>380</v>
      </c>
      <c r="D62" s="162">
        <v>89652460310</v>
      </c>
      <c r="E62" s="162" t="s">
        <v>150</v>
      </c>
      <c r="F62" s="200"/>
      <c r="G62" s="144" t="s">
        <v>94</v>
      </c>
      <c r="H62" s="163">
        <v>10000</v>
      </c>
      <c r="I62" s="164" t="s">
        <v>61</v>
      </c>
      <c r="J62" s="162" t="s">
        <v>381</v>
      </c>
      <c r="K62" s="164"/>
      <c r="L62" s="98"/>
      <c r="M62" s="346"/>
      <c r="N62" s="337">
        <v>1</v>
      </c>
    </row>
    <row r="63" spans="1:14">
      <c r="A63" s="260">
        <v>66</v>
      </c>
      <c r="B63" s="279" t="s">
        <v>389</v>
      </c>
      <c r="C63" s="262" t="s">
        <v>390</v>
      </c>
      <c r="D63" s="168" t="s">
        <v>391</v>
      </c>
      <c r="E63" s="168" t="s">
        <v>150</v>
      </c>
      <c r="F63" s="199"/>
      <c r="G63" s="178" t="s">
        <v>82</v>
      </c>
      <c r="H63" s="166">
        <v>10000</v>
      </c>
      <c r="I63" s="169" t="s">
        <v>61</v>
      </c>
      <c r="J63" s="168" t="s">
        <v>392</v>
      </c>
      <c r="K63" s="169"/>
      <c r="L63" s="98"/>
      <c r="M63" s="346"/>
      <c r="N63" s="337">
        <v>1</v>
      </c>
    </row>
    <row r="64" spans="1:14" s="295" customFormat="1">
      <c r="A64" s="290">
        <v>67</v>
      </c>
      <c r="B64" s="291" t="s">
        <v>393</v>
      </c>
      <c r="C64" s="292" t="s">
        <v>394</v>
      </c>
      <c r="D64" s="292">
        <v>89168598849</v>
      </c>
      <c r="E64" s="292" t="s">
        <v>124</v>
      </c>
      <c r="F64" s="293"/>
      <c r="G64" s="291" t="s">
        <v>82</v>
      </c>
      <c r="H64" s="291">
        <v>10000</v>
      </c>
      <c r="I64" s="294" t="s">
        <v>61</v>
      </c>
      <c r="J64" s="292" t="s">
        <v>395</v>
      </c>
      <c r="K64" s="294"/>
      <c r="L64" s="294"/>
      <c r="M64" s="309"/>
      <c r="N64" s="337"/>
    </row>
    <row r="65" spans="1:105" s="167" customFormat="1">
      <c r="A65" s="256">
        <v>68</v>
      </c>
      <c r="B65" s="257"/>
      <c r="C65" s="259" t="s">
        <v>412</v>
      </c>
      <c r="D65" s="258" t="s">
        <v>413</v>
      </c>
      <c r="E65" s="259" t="s">
        <v>134</v>
      </c>
      <c r="F65" s="258"/>
      <c r="G65" s="257" t="s">
        <v>94</v>
      </c>
      <c r="H65" s="257">
        <v>10000</v>
      </c>
      <c r="I65" s="257" t="s">
        <v>61</v>
      </c>
      <c r="J65" s="258" t="s">
        <v>414</v>
      </c>
      <c r="K65" s="257">
        <v>4525033204</v>
      </c>
      <c r="L65" s="169"/>
      <c r="M65" s="203"/>
      <c r="N65" s="337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</row>
    <row r="66" spans="1:105">
      <c r="A66" s="136">
        <v>69</v>
      </c>
      <c r="B66" s="136" t="s">
        <v>396</v>
      </c>
      <c r="C66" s="136" t="s">
        <v>397</v>
      </c>
      <c r="D66" s="136">
        <v>89167952011</v>
      </c>
      <c r="E66" s="152" t="s">
        <v>134</v>
      </c>
      <c r="F66" s="136"/>
      <c r="G66" s="180" t="s">
        <v>82</v>
      </c>
      <c r="H66" s="136">
        <v>10000</v>
      </c>
      <c r="I66" s="136" t="s">
        <v>61</v>
      </c>
      <c r="J66" s="136" t="s">
        <v>398</v>
      </c>
      <c r="K66" s="136" t="s">
        <v>411</v>
      </c>
      <c r="L66" s="148">
        <v>45792</v>
      </c>
      <c r="M66" s="347"/>
      <c r="N66" s="337">
        <v>1</v>
      </c>
    </row>
    <row r="67" spans="1:105" s="167" customFormat="1">
      <c r="A67" s="272">
        <v>70</v>
      </c>
      <c r="B67" s="272" t="s">
        <v>399</v>
      </c>
      <c r="C67" s="273" t="s">
        <v>400</v>
      </c>
      <c r="D67" s="191">
        <v>79197212118</v>
      </c>
      <c r="E67" s="191" t="s">
        <v>134</v>
      </c>
      <c r="F67" s="156"/>
      <c r="G67" s="180" t="s">
        <v>82</v>
      </c>
      <c r="H67" s="156">
        <v>10000</v>
      </c>
      <c r="I67" s="191" t="s">
        <v>61</v>
      </c>
      <c r="J67" s="191" t="s">
        <v>401</v>
      </c>
      <c r="K67" s="191" t="s">
        <v>402</v>
      </c>
      <c r="L67" s="136"/>
      <c r="M67" s="347"/>
      <c r="N67" s="337">
        <v>1</v>
      </c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</row>
    <row r="68" spans="1:105" s="167" customFormat="1">
      <c r="A68" s="256">
        <v>71</v>
      </c>
      <c r="B68" s="257" t="s">
        <v>403</v>
      </c>
      <c r="C68" s="258" t="s">
        <v>404</v>
      </c>
      <c r="D68" s="258">
        <v>89154154840</v>
      </c>
      <c r="E68" s="259" t="s">
        <v>134</v>
      </c>
      <c r="F68" s="258"/>
      <c r="G68" s="257" t="s">
        <v>82</v>
      </c>
      <c r="H68" s="257">
        <v>9000</v>
      </c>
      <c r="I68" s="257" t="s">
        <v>384</v>
      </c>
      <c r="J68" s="258" t="s">
        <v>405</v>
      </c>
      <c r="K68" s="257">
        <v>4617747981</v>
      </c>
      <c r="L68" s="191"/>
      <c r="M68" s="203"/>
      <c r="N68" s="337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</row>
    <row r="69" spans="1:105">
      <c r="A69" s="222">
        <v>72</v>
      </c>
      <c r="B69" s="222" t="s">
        <v>406</v>
      </c>
      <c r="C69" s="223" t="s">
        <v>407</v>
      </c>
      <c r="D69" s="223">
        <v>79199995678</v>
      </c>
      <c r="E69" s="223" t="s">
        <v>150</v>
      </c>
      <c r="F69" s="222"/>
      <c r="G69" s="222" t="s">
        <v>82</v>
      </c>
      <c r="H69" s="222">
        <v>6000</v>
      </c>
      <c r="I69" s="223" t="s">
        <v>415</v>
      </c>
      <c r="J69" s="223"/>
      <c r="K69" s="223">
        <v>4608206833</v>
      </c>
      <c r="L69" s="148"/>
      <c r="M69" s="347"/>
      <c r="N69" s="337"/>
    </row>
    <row r="70" spans="1:105">
      <c r="A70" s="224">
        <v>73</v>
      </c>
      <c r="B70" s="225" t="s">
        <v>408</v>
      </c>
      <c r="C70" s="226" t="s">
        <v>409</v>
      </c>
      <c r="D70" s="226">
        <v>89163522055</v>
      </c>
      <c r="E70" s="226" t="s">
        <v>150</v>
      </c>
      <c r="F70" s="227"/>
      <c r="G70" s="225" t="s">
        <v>82</v>
      </c>
      <c r="H70" s="225">
        <v>6000</v>
      </c>
      <c r="I70" s="228" t="s">
        <v>415</v>
      </c>
      <c r="J70" s="226" t="s">
        <v>410</v>
      </c>
      <c r="K70" s="228">
        <v>4512844826</v>
      </c>
      <c r="L70" s="191"/>
      <c r="M70" s="203"/>
      <c r="N70" s="337"/>
    </row>
    <row r="71" spans="1:105" s="295" customFormat="1">
      <c r="A71" s="290">
        <v>74</v>
      </c>
      <c r="B71" s="291"/>
      <c r="C71" s="306" t="s">
        <v>416</v>
      </c>
      <c r="D71" s="292">
        <v>79166599458</v>
      </c>
      <c r="E71" s="292" t="s">
        <v>150</v>
      </c>
      <c r="F71" s="293"/>
      <c r="G71" s="291" t="s">
        <v>94</v>
      </c>
      <c r="H71" s="291">
        <v>10000</v>
      </c>
      <c r="I71" s="294" t="s">
        <v>61</v>
      </c>
      <c r="J71" s="292" t="s">
        <v>417</v>
      </c>
      <c r="K71" s="294"/>
      <c r="L71" s="294"/>
      <c r="M71" s="309"/>
      <c r="N71" s="337"/>
    </row>
    <row r="72" spans="1:105">
      <c r="A72" s="256">
        <v>75</v>
      </c>
      <c r="B72" s="257"/>
      <c r="C72" s="258" t="s">
        <v>482</v>
      </c>
      <c r="D72" s="258">
        <v>79263468818</v>
      </c>
      <c r="E72" s="259" t="s">
        <v>419</v>
      </c>
      <c r="F72" s="258"/>
      <c r="G72" s="257" t="s">
        <v>82</v>
      </c>
      <c r="H72" s="257">
        <v>10000</v>
      </c>
      <c r="I72" s="257" t="s">
        <v>61</v>
      </c>
      <c r="J72" s="258" t="s">
        <v>483</v>
      </c>
      <c r="K72" s="257">
        <v>3007394817</v>
      </c>
      <c r="L72" s="169"/>
      <c r="M72" s="203"/>
      <c r="N72" s="337"/>
    </row>
    <row r="73" spans="1:105" s="295" customFormat="1">
      <c r="A73" s="302">
        <v>76</v>
      </c>
      <c r="B73" s="303"/>
      <c r="C73" s="304" t="s">
        <v>484</v>
      </c>
      <c r="D73" s="305">
        <v>79252627718</v>
      </c>
      <c r="E73" s="305" t="s">
        <v>124</v>
      </c>
      <c r="F73" s="302"/>
      <c r="G73" s="302" t="s">
        <v>94</v>
      </c>
      <c r="H73" s="302">
        <v>10000</v>
      </c>
      <c r="I73" s="305" t="s">
        <v>61</v>
      </c>
      <c r="J73" s="305" t="s">
        <v>485</v>
      </c>
      <c r="K73" s="305"/>
      <c r="L73" s="291"/>
      <c r="M73" s="344"/>
      <c r="N73" s="337"/>
    </row>
    <row r="74" spans="1:105" s="295" customFormat="1">
      <c r="A74" s="296">
        <v>77</v>
      </c>
      <c r="B74" s="297"/>
      <c r="C74" s="298" t="s">
        <v>478</v>
      </c>
      <c r="D74" s="298">
        <v>79161513209</v>
      </c>
      <c r="E74" s="298" t="s">
        <v>181</v>
      </c>
      <c r="F74" s="299"/>
      <c r="G74" s="300" t="s">
        <v>82</v>
      </c>
      <c r="H74" s="300">
        <v>10000</v>
      </c>
      <c r="I74" s="301" t="s">
        <v>61</v>
      </c>
      <c r="J74" s="298" t="s">
        <v>479</v>
      </c>
      <c r="K74" s="301">
        <v>4523948548</v>
      </c>
      <c r="L74" s="305"/>
      <c r="M74" s="309"/>
      <c r="N74" s="337"/>
    </row>
    <row r="75" spans="1:105" s="295" customFormat="1">
      <c r="A75" s="296">
        <v>78</v>
      </c>
      <c r="B75" s="297"/>
      <c r="C75" s="298" t="s">
        <v>429</v>
      </c>
      <c r="D75" s="298">
        <v>79219424877</v>
      </c>
      <c r="E75" s="298" t="s">
        <v>150</v>
      </c>
      <c r="F75" s="299"/>
      <c r="G75" s="300" t="s">
        <v>82</v>
      </c>
      <c r="H75" s="300">
        <v>10000</v>
      </c>
      <c r="I75" s="301" t="s">
        <v>61</v>
      </c>
      <c r="J75" s="298" t="s">
        <v>430</v>
      </c>
      <c r="K75" s="301"/>
      <c r="L75" s="301"/>
      <c r="M75" s="309"/>
      <c r="N75" s="337"/>
    </row>
    <row r="76" spans="1:105" s="295" customFormat="1">
      <c r="A76" s="296">
        <v>79</v>
      </c>
      <c r="B76" s="300"/>
      <c r="C76" s="298" t="s">
        <v>431</v>
      </c>
      <c r="D76" s="298" t="s">
        <v>433</v>
      </c>
      <c r="E76" s="298" t="s">
        <v>150</v>
      </c>
      <c r="F76" s="299"/>
      <c r="G76" s="300" t="s">
        <v>82</v>
      </c>
      <c r="H76" s="300">
        <v>10000</v>
      </c>
      <c r="I76" s="301" t="s">
        <v>61</v>
      </c>
      <c r="J76" s="298"/>
      <c r="K76" s="301"/>
      <c r="L76" s="301"/>
      <c r="M76" s="309"/>
      <c r="N76" s="337"/>
    </row>
    <row r="77" spans="1:105" s="295" customFormat="1">
      <c r="A77" s="290">
        <v>80</v>
      </c>
      <c r="B77" s="291"/>
      <c r="C77" s="292" t="s">
        <v>475</v>
      </c>
      <c r="D77" s="292" t="s">
        <v>432</v>
      </c>
      <c r="E77" s="292" t="s">
        <v>150</v>
      </c>
      <c r="F77" s="293"/>
      <c r="G77" s="291" t="s">
        <v>82</v>
      </c>
      <c r="H77" s="291">
        <v>10000</v>
      </c>
      <c r="I77" s="294" t="s">
        <v>61</v>
      </c>
      <c r="J77" s="292"/>
      <c r="K77" s="294"/>
      <c r="L77" s="301"/>
      <c r="M77" s="309"/>
      <c r="N77" s="337"/>
    </row>
    <row r="78" spans="1:105" s="264" customFormat="1">
      <c r="A78" s="224">
        <v>81</v>
      </c>
      <c r="B78" s="225" t="s">
        <v>434</v>
      </c>
      <c r="C78" s="226" t="s">
        <v>435</v>
      </c>
      <c r="D78" s="226">
        <v>79778696199</v>
      </c>
      <c r="E78" s="226" t="s">
        <v>150</v>
      </c>
      <c r="F78" s="227"/>
      <c r="G78" s="225" t="s">
        <v>82</v>
      </c>
      <c r="H78" s="225">
        <v>20000</v>
      </c>
      <c r="I78" s="228" t="s">
        <v>385</v>
      </c>
      <c r="J78" s="226" t="s">
        <v>436</v>
      </c>
      <c r="K78" s="228" t="s">
        <v>437</v>
      </c>
      <c r="L78" s="263"/>
      <c r="M78" s="340"/>
      <c r="N78" s="337"/>
    </row>
    <row r="79" spans="1:105" s="264" customFormat="1">
      <c r="A79" s="224">
        <v>82</v>
      </c>
      <c r="B79" s="225" t="s">
        <v>438</v>
      </c>
      <c r="C79" s="226" t="s">
        <v>439</v>
      </c>
      <c r="D79" s="226">
        <v>89263785399</v>
      </c>
      <c r="E79" s="226" t="s">
        <v>150</v>
      </c>
      <c r="F79" s="227"/>
      <c r="G79" s="225" t="s">
        <v>82</v>
      </c>
      <c r="H79" s="225"/>
      <c r="I79" s="228" t="s">
        <v>61</v>
      </c>
      <c r="J79" s="226" t="s">
        <v>440</v>
      </c>
      <c r="K79" s="228">
        <v>2808949811</v>
      </c>
      <c r="L79" s="263"/>
      <c r="M79" s="340"/>
      <c r="N79" s="337"/>
    </row>
    <row r="80" spans="1:105" s="295" customFormat="1">
      <c r="A80" s="290">
        <v>83</v>
      </c>
      <c r="B80" s="291" t="s">
        <v>441</v>
      </c>
      <c r="C80" s="292" t="s">
        <v>442</v>
      </c>
      <c r="D80" s="292">
        <v>89997840474</v>
      </c>
      <c r="E80" s="292" t="s">
        <v>150</v>
      </c>
      <c r="F80" s="293"/>
      <c r="G80" s="291" t="s">
        <v>82</v>
      </c>
      <c r="H80" s="291">
        <v>10000</v>
      </c>
      <c r="I80" s="294" t="s">
        <v>61</v>
      </c>
      <c r="J80" s="292" t="s">
        <v>443</v>
      </c>
      <c r="K80" s="294" t="s">
        <v>444</v>
      </c>
      <c r="L80" s="294"/>
      <c r="M80" s="309"/>
      <c r="N80" s="337"/>
    </row>
    <row r="81" spans="1:105" s="167" customFormat="1">
      <c r="A81" s="146">
        <v>84</v>
      </c>
      <c r="B81" s="148" t="s">
        <v>445</v>
      </c>
      <c r="C81" s="147" t="s">
        <v>446</v>
      </c>
      <c r="D81" s="147">
        <v>79787890633</v>
      </c>
      <c r="E81" s="147" t="s">
        <v>134</v>
      </c>
      <c r="F81" s="190"/>
      <c r="G81" s="178" t="s">
        <v>82</v>
      </c>
      <c r="H81" s="148">
        <v>10000</v>
      </c>
      <c r="I81" s="149" t="s">
        <v>61</v>
      </c>
      <c r="J81" s="147" t="s">
        <v>447</v>
      </c>
      <c r="K81" s="149" t="s">
        <v>448</v>
      </c>
      <c r="L81" s="169"/>
      <c r="M81" s="203"/>
      <c r="N81" s="337">
        <v>1</v>
      </c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</row>
    <row r="82" spans="1:105" s="167" customFormat="1">
      <c r="A82" s="260">
        <v>85</v>
      </c>
      <c r="B82" s="279" t="s">
        <v>449</v>
      </c>
      <c r="C82" s="262" t="s">
        <v>450</v>
      </c>
      <c r="D82" s="168">
        <v>79150352228</v>
      </c>
      <c r="E82" s="168" t="s">
        <v>150</v>
      </c>
      <c r="F82" s="199"/>
      <c r="G82" s="178" t="s">
        <v>82</v>
      </c>
      <c r="H82" s="166">
        <v>10000</v>
      </c>
      <c r="I82" s="169" t="s">
        <v>61</v>
      </c>
      <c r="J82" s="168" t="s">
        <v>451</v>
      </c>
      <c r="K82" s="169">
        <v>4614725599</v>
      </c>
      <c r="L82" s="35"/>
      <c r="M82" s="341"/>
      <c r="N82" s="337">
        <v>1</v>
      </c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</row>
    <row r="83" spans="1:105" s="295" customFormat="1">
      <c r="A83" s="290">
        <v>86</v>
      </c>
      <c r="B83" s="291"/>
      <c r="C83" s="292" t="s">
        <v>454</v>
      </c>
      <c r="D83" s="292" t="s">
        <v>453</v>
      </c>
      <c r="E83" s="292" t="s">
        <v>150</v>
      </c>
      <c r="F83" s="293"/>
      <c r="G83" s="291" t="s">
        <v>82</v>
      </c>
      <c r="H83" s="291">
        <v>10000</v>
      </c>
      <c r="I83" s="294" t="s">
        <v>61</v>
      </c>
      <c r="J83" s="292"/>
      <c r="K83" s="294"/>
      <c r="L83" s="294"/>
      <c r="M83" s="309"/>
      <c r="N83" s="337"/>
    </row>
    <row r="84" spans="1:105" s="167" customFormat="1">
      <c r="A84" s="146">
        <v>87</v>
      </c>
      <c r="B84" s="148"/>
      <c r="C84" s="147" t="s">
        <v>455</v>
      </c>
      <c r="D84" s="147" t="s">
        <v>452</v>
      </c>
      <c r="E84" s="147" t="s">
        <v>134</v>
      </c>
      <c r="F84" s="190"/>
      <c r="G84" s="178" t="s">
        <v>82</v>
      </c>
      <c r="H84" s="148">
        <v>10000</v>
      </c>
      <c r="I84" s="149" t="s">
        <v>61</v>
      </c>
      <c r="J84" s="147" t="s">
        <v>456</v>
      </c>
      <c r="K84" s="149">
        <v>9209988241</v>
      </c>
      <c r="L84" s="169"/>
      <c r="M84" s="203"/>
      <c r="N84" s="337">
        <v>1</v>
      </c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</row>
    <row r="85" spans="1:105" s="295" customFormat="1">
      <c r="A85" s="290">
        <v>88</v>
      </c>
      <c r="B85" s="291"/>
      <c r="C85" s="306" t="s">
        <v>457</v>
      </c>
      <c r="D85" s="292">
        <v>79680116622</v>
      </c>
      <c r="E85" s="292" t="s">
        <v>181</v>
      </c>
      <c r="F85" s="293"/>
      <c r="G85" s="291" t="s">
        <v>94</v>
      </c>
      <c r="H85" s="291">
        <v>10000</v>
      </c>
      <c r="I85" s="294" t="s">
        <v>61</v>
      </c>
      <c r="J85" s="292"/>
      <c r="K85" s="294"/>
      <c r="L85" s="294"/>
      <c r="M85" s="309"/>
      <c r="N85" s="337"/>
    </row>
    <row r="86" spans="1:105" s="295" customFormat="1">
      <c r="A86" s="290">
        <v>89</v>
      </c>
      <c r="B86" s="291" t="s">
        <v>458</v>
      </c>
      <c r="C86" s="292" t="s">
        <v>459</v>
      </c>
      <c r="D86" s="292" t="s">
        <v>460</v>
      </c>
      <c r="E86" s="292" t="s">
        <v>150</v>
      </c>
      <c r="F86" s="293"/>
      <c r="G86" s="291" t="s">
        <v>82</v>
      </c>
      <c r="H86" s="291">
        <v>10000</v>
      </c>
      <c r="I86" s="294" t="s">
        <v>61</v>
      </c>
      <c r="J86" s="292"/>
      <c r="K86" s="294"/>
      <c r="L86" s="294"/>
      <c r="M86" s="309"/>
      <c r="N86" s="337"/>
    </row>
    <row r="87" spans="1:105" s="167" customFormat="1">
      <c r="A87" s="260">
        <v>90</v>
      </c>
      <c r="B87" s="261" t="s">
        <v>461</v>
      </c>
      <c r="C87" s="262" t="s">
        <v>462</v>
      </c>
      <c r="D87" s="168">
        <v>79031670150</v>
      </c>
      <c r="E87" s="168" t="s">
        <v>124</v>
      </c>
      <c r="F87" s="199"/>
      <c r="G87" s="178" t="s">
        <v>82</v>
      </c>
      <c r="H87" s="166">
        <v>10000</v>
      </c>
      <c r="I87" s="169" t="s">
        <v>61</v>
      </c>
      <c r="J87" s="168" t="s">
        <v>463</v>
      </c>
      <c r="K87" s="169" t="s">
        <v>464</v>
      </c>
      <c r="L87" s="169"/>
      <c r="M87" s="203"/>
      <c r="N87" s="337">
        <v>1</v>
      </c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</row>
    <row r="88" spans="1:105">
      <c r="A88" s="269">
        <v>91</v>
      </c>
      <c r="B88" s="270" t="s">
        <v>465</v>
      </c>
      <c r="C88" s="277" t="s">
        <v>466</v>
      </c>
      <c r="D88" s="162">
        <v>79036171419</v>
      </c>
      <c r="E88" s="162" t="s">
        <v>124</v>
      </c>
      <c r="F88" s="200"/>
      <c r="G88" s="144" t="s">
        <v>94</v>
      </c>
      <c r="H88" s="163">
        <v>10000</v>
      </c>
      <c r="I88" s="164" t="s">
        <v>61</v>
      </c>
      <c r="J88" s="162" t="s">
        <v>467</v>
      </c>
      <c r="K88" s="164"/>
      <c r="L88" s="94"/>
      <c r="M88" s="339"/>
      <c r="N88" s="337">
        <v>1</v>
      </c>
    </row>
    <row r="89" spans="1:105" s="264" customFormat="1">
      <c r="A89" s="281">
        <v>92</v>
      </c>
      <c r="B89" s="265">
        <v>92</v>
      </c>
      <c r="C89" s="283" t="s">
        <v>476</v>
      </c>
      <c r="D89" s="283">
        <v>79857637908</v>
      </c>
      <c r="E89" s="283" t="s">
        <v>134</v>
      </c>
      <c r="F89" s="258"/>
      <c r="G89" s="257" t="s">
        <v>82</v>
      </c>
      <c r="H89" s="265">
        <v>10000</v>
      </c>
      <c r="I89" s="286" t="s">
        <v>61</v>
      </c>
      <c r="J89" s="283" t="s">
        <v>477</v>
      </c>
      <c r="K89" s="286">
        <v>4524483480</v>
      </c>
      <c r="L89" s="286"/>
      <c r="M89" s="340"/>
      <c r="N89" s="337"/>
    </row>
    <row r="90" spans="1:105" s="167" customFormat="1">
      <c r="A90" s="260">
        <v>93</v>
      </c>
      <c r="B90" s="274" t="s">
        <v>471</v>
      </c>
      <c r="C90" s="275" t="s">
        <v>472</v>
      </c>
      <c r="D90" s="168">
        <v>89164760331</v>
      </c>
      <c r="E90" s="168" t="s">
        <v>181</v>
      </c>
      <c r="F90" s="199" t="s">
        <v>536</v>
      </c>
      <c r="G90" s="148" t="s">
        <v>94</v>
      </c>
      <c r="H90" s="166">
        <v>9500</v>
      </c>
      <c r="I90" s="169" t="s">
        <v>491</v>
      </c>
      <c r="J90" s="168" t="s">
        <v>473</v>
      </c>
      <c r="K90" s="169" t="s">
        <v>474</v>
      </c>
      <c r="L90" s="193"/>
      <c r="M90" s="341"/>
      <c r="N90" s="337">
        <v>1</v>
      </c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</row>
    <row r="91" spans="1:105">
      <c r="A91" s="160">
        <v>94</v>
      </c>
      <c r="B91" s="161" t="s">
        <v>486</v>
      </c>
      <c r="C91" s="186" t="s">
        <v>487</v>
      </c>
      <c r="D91" s="162">
        <v>89095551012</v>
      </c>
      <c r="E91" s="162" t="s">
        <v>124</v>
      </c>
      <c r="F91" s="200"/>
      <c r="G91" s="177" t="s">
        <v>94</v>
      </c>
      <c r="H91" s="163">
        <v>10000</v>
      </c>
      <c r="I91" s="164" t="s">
        <v>61</v>
      </c>
      <c r="J91" s="162" t="s">
        <v>488</v>
      </c>
      <c r="K91" s="164" t="s">
        <v>489</v>
      </c>
      <c r="L91" s="94"/>
      <c r="M91" s="339"/>
      <c r="N91" s="337">
        <v>1</v>
      </c>
    </row>
    <row r="92" spans="1:105" s="264" customFormat="1">
      <c r="A92" s="281">
        <v>95</v>
      </c>
      <c r="B92" s="265"/>
      <c r="C92" s="282" t="s">
        <v>496</v>
      </c>
      <c r="D92" s="283" t="s">
        <v>497</v>
      </c>
      <c r="E92" s="283" t="s">
        <v>134</v>
      </c>
      <c r="F92" s="284"/>
      <c r="G92" s="265" t="s">
        <v>94</v>
      </c>
      <c r="H92" s="265">
        <v>10000</v>
      </c>
      <c r="I92" s="286" t="s">
        <v>61</v>
      </c>
      <c r="J92" s="283" t="s">
        <v>498</v>
      </c>
      <c r="K92" s="286">
        <v>4506332588</v>
      </c>
      <c r="L92" s="286"/>
      <c r="M92" s="340"/>
      <c r="N92" s="337"/>
    </row>
    <row r="93" spans="1:105" s="295" customFormat="1">
      <c r="A93" s="296">
        <v>96</v>
      </c>
      <c r="B93" s="297"/>
      <c r="C93" s="313" t="s">
        <v>506</v>
      </c>
      <c r="D93" s="298" t="s">
        <v>507</v>
      </c>
      <c r="E93" s="298" t="s">
        <v>124</v>
      </c>
      <c r="F93" s="299"/>
      <c r="G93" s="300" t="s">
        <v>94</v>
      </c>
      <c r="H93" s="300">
        <v>10000</v>
      </c>
      <c r="I93" s="301" t="s">
        <v>61</v>
      </c>
      <c r="J93" s="298" t="s">
        <v>508</v>
      </c>
      <c r="K93" s="301">
        <v>4515053302</v>
      </c>
      <c r="L93" s="301"/>
      <c r="M93" s="309"/>
      <c r="N93" s="337"/>
    </row>
    <row r="94" spans="1:105" s="264" customFormat="1">
      <c r="A94" s="281">
        <v>97</v>
      </c>
      <c r="B94" s="265" t="s">
        <v>513</v>
      </c>
      <c r="C94" s="283" t="s">
        <v>514</v>
      </c>
      <c r="D94" s="283">
        <v>89151463304</v>
      </c>
      <c r="E94" s="283" t="s">
        <v>134</v>
      </c>
      <c r="F94" s="284"/>
      <c r="G94" s="265" t="s">
        <v>82</v>
      </c>
      <c r="H94" s="265">
        <v>10000</v>
      </c>
      <c r="I94" s="286" t="s">
        <v>61</v>
      </c>
      <c r="J94" s="283" t="s">
        <v>515</v>
      </c>
      <c r="K94" s="286" t="s">
        <v>516</v>
      </c>
      <c r="L94" s="286"/>
      <c r="M94" s="340"/>
      <c r="N94" s="337"/>
    </row>
    <row r="95" spans="1:105">
      <c r="A95" s="141">
        <v>98</v>
      </c>
      <c r="B95" s="144" t="s">
        <v>517</v>
      </c>
      <c r="C95" s="143" t="s">
        <v>518</v>
      </c>
      <c r="D95" s="143">
        <v>89057046716</v>
      </c>
      <c r="E95" s="143" t="s">
        <v>134</v>
      </c>
      <c r="F95" s="198"/>
      <c r="G95" s="177" t="s">
        <v>82</v>
      </c>
      <c r="H95" s="144">
        <v>10000</v>
      </c>
      <c r="I95" s="145" t="s">
        <v>61</v>
      </c>
      <c r="J95" s="143" t="s">
        <v>519</v>
      </c>
      <c r="K95" s="145" t="s">
        <v>520</v>
      </c>
      <c r="L95" s="98"/>
      <c r="M95" s="346"/>
      <c r="N95" s="337">
        <v>1</v>
      </c>
    </row>
    <row r="96" spans="1:105" s="295" customFormat="1">
      <c r="A96" s="296">
        <v>99</v>
      </c>
      <c r="B96" s="300" t="s">
        <v>521</v>
      </c>
      <c r="C96" s="298" t="s">
        <v>522</v>
      </c>
      <c r="D96" s="298">
        <v>79162382434</v>
      </c>
      <c r="E96" s="298" t="s">
        <v>124</v>
      </c>
      <c r="F96" s="299"/>
      <c r="G96" s="300" t="s">
        <v>82</v>
      </c>
      <c r="H96" s="300">
        <v>10000</v>
      </c>
      <c r="I96" s="301" t="s">
        <v>61</v>
      </c>
      <c r="J96" s="298"/>
      <c r="K96" s="301"/>
      <c r="L96" s="301"/>
      <c r="M96" s="309"/>
      <c r="N96" s="337"/>
    </row>
    <row r="97" spans="1:14">
      <c r="A97" s="269">
        <v>100</v>
      </c>
      <c r="B97" s="270"/>
      <c r="C97" s="271" t="s">
        <v>523</v>
      </c>
      <c r="D97" s="162" t="s">
        <v>524</v>
      </c>
      <c r="E97" s="162" t="s">
        <v>124</v>
      </c>
      <c r="F97" s="200"/>
      <c r="G97" s="177" t="s">
        <v>82</v>
      </c>
      <c r="H97" s="163">
        <v>10000</v>
      </c>
      <c r="I97" s="164" t="s">
        <v>61</v>
      </c>
      <c r="J97" s="162" t="s">
        <v>525</v>
      </c>
      <c r="K97" s="164">
        <v>4521381485</v>
      </c>
      <c r="L97" s="98"/>
      <c r="M97" s="346"/>
      <c r="N97" s="337">
        <v>1</v>
      </c>
    </row>
    <row r="98" spans="1:14">
      <c r="A98" s="141">
        <v>101</v>
      </c>
      <c r="B98" s="144" t="s">
        <v>526</v>
      </c>
      <c r="C98" s="143" t="s">
        <v>527</v>
      </c>
      <c r="D98" s="143">
        <v>89265386395</v>
      </c>
      <c r="E98" s="143" t="s">
        <v>134</v>
      </c>
      <c r="F98" s="198"/>
      <c r="G98" s="177" t="s">
        <v>82</v>
      </c>
      <c r="H98" s="144"/>
      <c r="I98" s="145"/>
      <c r="J98" s="143" t="s">
        <v>528</v>
      </c>
      <c r="K98" s="145" t="s">
        <v>528</v>
      </c>
      <c r="L98" s="98"/>
      <c r="M98" s="346"/>
      <c r="N98" s="337">
        <v>1</v>
      </c>
    </row>
    <row r="99" spans="1:14" s="264" customFormat="1">
      <c r="A99" s="281">
        <v>102</v>
      </c>
      <c r="B99" s="265"/>
      <c r="C99" s="283" t="s">
        <v>529</v>
      </c>
      <c r="D99" s="283">
        <v>89265254001</v>
      </c>
      <c r="E99" s="283" t="s">
        <v>134</v>
      </c>
      <c r="F99" s="284"/>
      <c r="G99" s="265" t="s">
        <v>82</v>
      </c>
      <c r="H99" s="265">
        <v>20000</v>
      </c>
      <c r="I99" s="286" t="s">
        <v>385</v>
      </c>
      <c r="J99" s="283" t="s">
        <v>530</v>
      </c>
      <c r="K99" s="286">
        <v>4523520982</v>
      </c>
      <c r="L99" s="286"/>
      <c r="M99" s="340"/>
      <c r="N99" s="337"/>
    </row>
    <row r="100" spans="1:14" s="264" customFormat="1">
      <c r="A100" s="281">
        <v>103</v>
      </c>
      <c r="B100" s="335"/>
      <c r="C100" s="283" t="s">
        <v>531</v>
      </c>
      <c r="D100" s="283">
        <v>79150158679</v>
      </c>
      <c r="E100" s="283" t="s">
        <v>124</v>
      </c>
      <c r="F100" s="284"/>
      <c r="G100" s="265" t="s">
        <v>82</v>
      </c>
      <c r="H100" s="265">
        <v>9500</v>
      </c>
      <c r="I100" s="286" t="s">
        <v>491</v>
      </c>
      <c r="J100" s="283"/>
      <c r="K100" s="286"/>
      <c r="L100" s="286"/>
      <c r="M100" s="340"/>
      <c r="N100" s="337"/>
    </row>
    <row r="101" spans="1:14" s="264" customFormat="1">
      <c r="A101" s="281">
        <v>103</v>
      </c>
      <c r="B101" s="265"/>
      <c r="C101" s="283" t="s">
        <v>529</v>
      </c>
      <c r="D101" s="283"/>
      <c r="E101" s="283"/>
      <c r="F101" s="284"/>
      <c r="G101" s="265" t="s">
        <v>82</v>
      </c>
      <c r="H101" s="265"/>
      <c r="I101" s="286"/>
      <c r="J101" s="283"/>
      <c r="K101" s="286"/>
      <c r="L101" s="263"/>
      <c r="M101" s="340"/>
      <c r="N101" s="337"/>
    </row>
    <row r="102" spans="1:14">
      <c r="A102" s="141">
        <v>104</v>
      </c>
      <c r="B102" s="144"/>
      <c r="C102" s="182" t="s">
        <v>532</v>
      </c>
      <c r="D102" s="143" t="s">
        <v>533</v>
      </c>
      <c r="E102" s="143" t="s">
        <v>134</v>
      </c>
      <c r="F102" s="198"/>
      <c r="G102" s="144" t="s">
        <v>94</v>
      </c>
      <c r="H102" s="144">
        <v>10000</v>
      </c>
      <c r="I102" s="145" t="s">
        <v>61</v>
      </c>
      <c r="J102" s="143" t="s">
        <v>534</v>
      </c>
      <c r="K102" s="145">
        <v>89057865858</v>
      </c>
      <c r="L102" s="98"/>
      <c r="M102" s="346"/>
      <c r="N102" s="337">
        <v>1</v>
      </c>
    </row>
    <row r="103" spans="1:14">
      <c r="G103" s="93"/>
    </row>
    <row r="104" spans="1:14">
      <c r="G104" s="93"/>
    </row>
    <row r="105" spans="1:14">
      <c r="G105" s="93"/>
    </row>
    <row r="106" spans="1:14">
      <c r="G106" s="93"/>
    </row>
    <row r="107" spans="1:14">
      <c r="G107" s="93"/>
    </row>
    <row r="108" spans="1:14">
      <c r="G108" s="93"/>
    </row>
    <row r="109" spans="1:14">
      <c r="G109" s="93"/>
    </row>
    <row r="110" spans="1:14">
      <c r="G110" s="93"/>
    </row>
    <row r="111" spans="1:14">
      <c r="G111" s="93"/>
    </row>
    <row r="112" spans="1:14">
      <c r="G112" s="93"/>
    </row>
    <row r="113" spans="7:7">
      <c r="G113" s="93"/>
    </row>
    <row r="114" spans="7:7">
      <c r="G114" s="93"/>
    </row>
    <row r="115" spans="7:7">
      <c r="G115" s="93"/>
    </row>
    <row r="116" spans="7:7">
      <c r="G116" s="93"/>
    </row>
    <row r="117" spans="7:7">
      <c r="G117" s="93"/>
    </row>
    <row r="118" spans="7:7">
      <c r="G118" s="93"/>
    </row>
    <row r="119" spans="7:7">
      <c r="G119" s="93"/>
    </row>
    <row r="120" spans="7:7">
      <c r="G120" s="93"/>
    </row>
    <row r="121" spans="7:7">
      <c r="G121" s="93"/>
    </row>
    <row r="122" spans="7:7">
      <c r="G122" s="93"/>
    </row>
    <row r="123" spans="7:7">
      <c r="G123" s="93"/>
    </row>
    <row r="124" spans="7:7">
      <c r="G124" s="93"/>
    </row>
    <row r="125" spans="7:7">
      <c r="G125" s="93"/>
    </row>
    <row r="126" spans="7:7">
      <c r="G126" s="93"/>
    </row>
    <row r="127" spans="7:7">
      <c r="G127" s="93"/>
    </row>
    <row r="128" spans="7:7">
      <c r="G128" s="93"/>
    </row>
    <row r="129" spans="7:7">
      <c r="G129" s="93"/>
    </row>
    <row r="130" spans="7:7">
      <c r="G130" s="93"/>
    </row>
    <row r="131" spans="7:7">
      <c r="G131" s="93"/>
    </row>
    <row r="132" spans="7:7">
      <c r="G132" s="93"/>
    </row>
    <row r="133" spans="7:7">
      <c r="G133" s="93"/>
    </row>
    <row r="134" spans="7:7">
      <c r="G134" s="93"/>
    </row>
    <row r="135" spans="7:7">
      <c r="G135" s="93"/>
    </row>
    <row r="136" spans="7:7">
      <c r="G136" s="93"/>
    </row>
    <row r="137" spans="7:7">
      <c r="G137" s="93"/>
    </row>
    <row r="138" spans="7:7">
      <c r="G138" s="93"/>
    </row>
    <row r="139" spans="7:7">
      <c r="G139" s="93"/>
    </row>
    <row r="140" spans="7:7">
      <c r="G140" s="93"/>
    </row>
    <row r="141" spans="7:7">
      <c r="G141" s="93"/>
    </row>
    <row r="142" spans="7:7">
      <c r="G142" s="93"/>
    </row>
    <row r="143" spans="7:7">
      <c r="G143" s="93"/>
    </row>
    <row r="144" spans="7:7">
      <c r="G144" s="93"/>
    </row>
    <row r="145" spans="7:7">
      <c r="G145" s="93"/>
    </row>
    <row r="146" spans="7:7">
      <c r="G146" s="93"/>
    </row>
    <row r="147" spans="7:7">
      <c r="G147" s="93"/>
    </row>
    <row r="148" spans="7:7">
      <c r="G148" s="93"/>
    </row>
    <row r="149" spans="7:7">
      <c r="G149" s="93"/>
    </row>
    <row r="150" spans="7:7">
      <c r="G150" s="93"/>
    </row>
    <row r="151" spans="7:7">
      <c r="G151" s="93"/>
    </row>
    <row r="152" spans="7:7">
      <c r="G152" s="93"/>
    </row>
    <row r="153" spans="7:7">
      <c r="G153" s="93"/>
    </row>
    <row r="154" spans="7:7">
      <c r="G154" s="93"/>
    </row>
    <row r="155" spans="7:7">
      <c r="G155" s="93"/>
    </row>
    <row r="156" spans="7:7">
      <c r="G156" s="93"/>
    </row>
    <row r="157" spans="7:7">
      <c r="G157" s="93"/>
    </row>
    <row r="158" spans="7:7">
      <c r="G158" s="93"/>
    </row>
    <row r="159" spans="7:7">
      <c r="G159" s="93"/>
    </row>
    <row r="160" spans="7:7">
      <c r="G160" s="93"/>
    </row>
    <row r="161" spans="7:7">
      <c r="G161" s="93"/>
    </row>
    <row r="162" spans="7:7">
      <c r="G162" s="93"/>
    </row>
    <row r="163" spans="7:7">
      <c r="G163" s="93"/>
    </row>
    <row r="164" spans="7:7">
      <c r="G164" s="93"/>
    </row>
    <row r="165" spans="7:7">
      <c r="G165" s="93"/>
    </row>
    <row r="166" spans="7:7">
      <c r="G166" s="93"/>
    </row>
    <row r="167" spans="7:7">
      <c r="G167" s="93"/>
    </row>
    <row r="168" spans="7:7">
      <c r="G168" s="93"/>
    </row>
    <row r="169" spans="7:7">
      <c r="G169" s="93"/>
    </row>
    <row r="170" spans="7:7">
      <c r="G170" s="93"/>
    </row>
    <row r="171" spans="7:7">
      <c r="G171" s="93"/>
    </row>
    <row r="172" spans="7:7">
      <c r="G172" s="93"/>
    </row>
    <row r="173" spans="7:7">
      <c r="G173" s="93"/>
    </row>
    <row r="174" spans="7:7">
      <c r="G174" s="93"/>
    </row>
    <row r="175" spans="7:7">
      <c r="G175" s="93"/>
    </row>
    <row r="176" spans="7:7">
      <c r="G176" s="93"/>
    </row>
    <row r="177" spans="7:7">
      <c r="G177" s="93"/>
    </row>
    <row r="178" spans="7:7">
      <c r="G178" s="93"/>
    </row>
    <row r="179" spans="7:7">
      <c r="G179" s="93"/>
    </row>
    <row r="180" spans="7:7">
      <c r="G180" s="93"/>
    </row>
    <row r="181" spans="7:7">
      <c r="G181" s="93"/>
    </row>
    <row r="182" spans="7:7">
      <c r="G182" s="93"/>
    </row>
    <row r="183" spans="7:7">
      <c r="G183" s="93"/>
    </row>
    <row r="184" spans="7:7">
      <c r="G184" s="93"/>
    </row>
    <row r="185" spans="7:7">
      <c r="G185" s="93"/>
    </row>
    <row r="186" spans="7:7">
      <c r="G186" s="93"/>
    </row>
    <row r="187" spans="7:7">
      <c r="G187" s="93"/>
    </row>
    <row r="188" spans="7:7">
      <c r="G188" s="93"/>
    </row>
    <row r="189" spans="7:7">
      <c r="G189" s="93"/>
    </row>
    <row r="190" spans="7:7">
      <c r="G190" s="93"/>
    </row>
    <row r="191" spans="7:7">
      <c r="G191" s="93"/>
    </row>
    <row r="192" spans="7:7">
      <c r="G192" s="93"/>
    </row>
    <row r="193" spans="7:7">
      <c r="G193" s="93"/>
    </row>
    <row r="194" spans="7:7">
      <c r="G194" s="93"/>
    </row>
    <row r="195" spans="7:7">
      <c r="G195" s="93"/>
    </row>
    <row r="196" spans="7:7">
      <c r="G196" s="93"/>
    </row>
    <row r="197" spans="7:7">
      <c r="G197" s="93"/>
    </row>
    <row r="198" spans="7:7">
      <c r="G198" s="93"/>
    </row>
    <row r="199" spans="7:7">
      <c r="G199" s="93"/>
    </row>
    <row r="200" spans="7:7">
      <c r="G200" s="93"/>
    </row>
    <row r="201" spans="7:7">
      <c r="G201" s="93"/>
    </row>
    <row r="202" spans="7:7">
      <c r="G202" s="93"/>
    </row>
    <row r="203" spans="7:7">
      <c r="G203" s="93"/>
    </row>
    <row r="204" spans="7:7">
      <c r="G204" s="93"/>
    </row>
    <row r="205" spans="7:7">
      <c r="G205" s="93"/>
    </row>
    <row r="206" spans="7:7">
      <c r="G206" s="93"/>
    </row>
    <row r="207" spans="7:7">
      <c r="G207" s="93"/>
    </row>
    <row r="208" spans="7:7">
      <c r="G208" s="93"/>
    </row>
    <row r="209" spans="7:7">
      <c r="G209" s="93"/>
    </row>
    <row r="210" spans="7:7">
      <c r="G210" s="93"/>
    </row>
    <row r="211" spans="7:7">
      <c r="G211" s="93"/>
    </row>
    <row r="212" spans="7:7">
      <c r="G212" s="93"/>
    </row>
    <row r="213" spans="7:7">
      <c r="G213" s="93"/>
    </row>
    <row r="214" spans="7:7">
      <c r="G214" s="93"/>
    </row>
    <row r="215" spans="7:7">
      <c r="G215" s="93"/>
    </row>
    <row r="216" spans="7:7">
      <c r="G216" s="93"/>
    </row>
    <row r="217" spans="7:7">
      <c r="G217" s="93"/>
    </row>
    <row r="218" spans="7:7">
      <c r="G218" s="93"/>
    </row>
    <row r="219" spans="7:7">
      <c r="G219" s="93"/>
    </row>
    <row r="220" spans="7:7">
      <c r="G220" s="93"/>
    </row>
    <row r="221" spans="7:7">
      <c r="G221" s="93"/>
    </row>
    <row r="222" spans="7:7">
      <c r="G222" s="93"/>
    </row>
    <row r="223" spans="7:7">
      <c r="G223" s="93"/>
    </row>
    <row r="224" spans="7:7">
      <c r="G224" s="93"/>
    </row>
    <row r="225" spans="7:7">
      <c r="G225" s="93"/>
    </row>
    <row r="226" spans="7:7">
      <c r="G226" s="93"/>
    </row>
    <row r="227" spans="7:7">
      <c r="G227" s="93"/>
    </row>
    <row r="228" spans="7:7">
      <c r="G228" s="93"/>
    </row>
    <row r="229" spans="7:7">
      <c r="G229" s="93"/>
    </row>
    <row r="230" spans="7:7">
      <c r="G230" s="93"/>
    </row>
    <row r="231" spans="7:7">
      <c r="G231" s="93"/>
    </row>
    <row r="232" spans="7:7">
      <c r="G232" s="93"/>
    </row>
    <row r="233" spans="7:7">
      <c r="G233" s="93"/>
    </row>
    <row r="234" spans="7:7">
      <c r="G234" s="93"/>
    </row>
    <row r="235" spans="7:7">
      <c r="G235" s="93"/>
    </row>
    <row r="236" spans="7:7">
      <c r="G236" s="93"/>
    </row>
    <row r="237" spans="7:7">
      <c r="G237" s="93"/>
    </row>
    <row r="238" spans="7:7">
      <c r="G238" s="93"/>
    </row>
    <row r="239" spans="7:7">
      <c r="G239" s="93"/>
    </row>
    <row r="240" spans="7:7">
      <c r="G240" s="93"/>
    </row>
    <row r="241" spans="7:7">
      <c r="G241" s="93"/>
    </row>
    <row r="242" spans="7:7">
      <c r="G242" s="93"/>
    </row>
    <row r="243" spans="7:7">
      <c r="G243" s="93"/>
    </row>
    <row r="244" spans="7:7">
      <c r="G244" s="93"/>
    </row>
    <row r="245" spans="7:7">
      <c r="G245" s="93"/>
    </row>
    <row r="246" spans="7:7">
      <c r="G246" s="93"/>
    </row>
    <row r="247" spans="7:7">
      <c r="G247" s="93"/>
    </row>
    <row r="248" spans="7:7">
      <c r="G248" s="93"/>
    </row>
    <row r="249" spans="7:7">
      <c r="G249" s="93"/>
    </row>
    <row r="250" spans="7:7">
      <c r="G250" s="93"/>
    </row>
    <row r="251" spans="7:7">
      <c r="G251" s="93"/>
    </row>
    <row r="252" spans="7:7">
      <c r="G252" s="93"/>
    </row>
    <row r="253" spans="7:7">
      <c r="G253" s="93"/>
    </row>
    <row r="254" spans="7:7">
      <c r="G254" s="93"/>
    </row>
    <row r="255" spans="7:7">
      <c r="G255" s="93"/>
    </row>
    <row r="256" spans="7:7">
      <c r="G256" s="93"/>
    </row>
    <row r="257" spans="7:7">
      <c r="G257" s="93"/>
    </row>
    <row r="258" spans="7:7">
      <c r="G258" s="93"/>
    </row>
    <row r="259" spans="7:7">
      <c r="G259" s="93"/>
    </row>
    <row r="260" spans="7:7">
      <c r="G260" s="93"/>
    </row>
    <row r="261" spans="7:7">
      <c r="G261" s="93"/>
    </row>
    <row r="262" spans="7:7">
      <c r="G262" s="93"/>
    </row>
    <row r="263" spans="7:7">
      <c r="G263" s="93"/>
    </row>
    <row r="264" spans="7:7">
      <c r="G264" s="93"/>
    </row>
    <row r="265" spans="7:7">
      <c r="G265" s="93"/>
    </row>
    <row r="266" spans="7:7">
      <c r="G266" s="93"/>
    </row>
    <row r="267" spans="7:7">
      <c r="G267" s="93"/>
    </row>
    <row r="268" spans="7:7">
      <c r="G268" s="93"/>
    </row>
    <row r="269" spans="7:7">
      <c r="G269" s="93"/>
    </row>
    <row r="270" spans="7:7">
      <c r="G270" s="93"/>
    </row>
    <row r="271" spans="7:7">
      <c r="G271" s="93"/>
    </row>
    <row r="272" spans="7:7">
      <c r="G272" s="93"/>
    </row>
    <row r="273" spans="7:7">
      <c r="G273" s="93"/>
    </row>
    <row r="274" spans="7:7">
      <c r="G274" s="93"/>
    </row>
    <row r="275" spans="7:7">
      <c r="G275" s="93"/>
    </row>
    <row r="276" spans="7:7">
      <c r="G276" s="93"/>
    </row>
    <row r="277" spans="7:7">
      <c r="G277" s="93"/>
    </row>
    <row r="278" spans="7:7">
      <c r="G278" s="93"/>
    </row>
    <row r="279" spans="7:7">
      <c r="G279" s="93"/>
    </row>
    <row r="280" spans="7:7">
      <c r="G280" s="93"/>
    </row>
    <row r="281" spans="7:7">
      <c r="G281" s="93"/>
    </row>
    <row r="282" spans="7:7">
      <c r="G282" s="93"/>
    </row>
    <row r="283" spans="7:7">
      <c r="G283" s="93"/>
    </row>
    <row r="284" spans="7:7">
      <c r="G284" s="93"/>
    </row>
    <row r="285" spans="7:7">
      <c r="G285" s="93"/>
    </row>
    <row r="286" spans="7:7">
      <c r="G286" s="93"/>
    </row>
    <row r="287" spans="7:7">
      <c r="G287" s="93"/>
    </row>
    <row r="288" spans="7:7">
      <c r="G288" s="93"/>
    </row>
    <row r="289" spans="7:7">
      <c r="G289" s="93"/>
    </row>
    <row r="290" spans="7:7">
      <c r="G290" s="93"/>
    </row>
    <row r="291" spans="7:7">
      <c r="G291" s="93"/>
    </row>
    <row r="292" spans="7:7">
      <c r="G292" s="93"/>
    </row>
    <row r="293" spans="7:7">
      <c r="G293" s="93"/>
    </row>
    <row r="294" spans="7:7">
      <c r="G294" s="93"/>
    </row>
    <row r="295" spans="7:7">
      <c r="G295" s="93"/>
    </row>
    <row r="296" spans="7:7">
      <c r="G296" s="93"/>
    </row>
    <row r="297" spans="7:7">
      <c r="G297" s="93"/>
    </row>
    <row r="298" spans="7:7">
      <c r="G298" s="93"/>
    </row>
    <row r="299" spans="7:7">
      <c r="G299" s="93"/>
    </row>
    <row r="300" spans="7:7">
      <c r="G300" s="93"/>
    </row>
    <row r="301" spans="7:7">
      <c r="G301" s="93"/>
    </row>
    <row r="302" spans="7:7">
      <c r="G302" s="93"/>
    </row>
    <row r="303" spans="7:7">
      <c r="G303" s="93"/>
    </row>
    <row r="304" spans="7:7">
      <c r="G304" s="93"/>
    </row>
    <row r="305" spans="7:7">
      <c r="G305" s="93"/>
    </row>
    <row r="306" spans="7:7">
      <c r="G306" s="93"/>
    </row>
    <row r="307" spans="7:7">
      <c r="G307" s="93"/>
    </row>
    <row r="308" spans="7:7">
      <c r="G308" s="93"/>
    </row>
    <row r="309" spans="7:7">
      <c r="G309" s="93"/>
    </row>
    <row r="310" spans="7:7">
      <c r="G310" s="93"/>
    </row>
    <row r="311" spans="7:7">
      <c r="G311" s="93"/>
    </row>
    <row r="312" spans="7:7">
      <c r="G312" s="93"/>
    </row>
    <row r="313" spans="7:7">
      <c r="G313" s="93"/>
    </row>
    <row r="314" spans="7:7">
      <c r="G314" s="93"/>
    </row>
    <row r="315" spans="7:7">
      <c r="G315" s="93"/>
    </row>
    <row r="316" spans="7:7">
      <c r="G316" s="93"/>
    </row>
    <row r="317" spans="7:7">
      <c r="G317" s="93"/>
    </row>
    <row r="318" spans="7:7">
      <c r="G318" s="93"/>
    </row>
    <row r="319" spans="7:7">
      <c r="G319" s="93"/>
    </row>
    <row r="320" spans="7:7">
      <c r="G320" s="93"/>
    </row>
    <row r="321" spans="7:7">
      <c r="G321" s="93"/>
    </row>
    <row r="322" spans="7:7">
      <c r="G322" s="93"/>
    </row>
    <row r="323" spans="7:7">
      <c r="G323" s="93"/>
    </row>
    <row r="324" spans="7:7">
      <c r="G324" s="93"/>
    </row>
    <row r="325" spans="7:7">
      <c r="G325" s="93"/>
    </row>
    <row r="326" spans="7:7">
      <c r="G326" s="93"/>
    </row>
    <row r="327" spans="7:7">
      <c r="G327" s="93"/>
    </row>
    <row r="328" spans="7:7">
      <c r="G328" s="93"/>
    </row>
    <row r="329" spans="7:7">
      <c r="G329" s="93"/>
    </row>
    <row r="330" spans="7:7">
      <c r="G330" s="93"/>
    </row>
    <row r="331" spans="7:7">
      <c r="G331" s="93"/>
    </row>
    <row r="332" spans="7:7">
      <c r="G332" s="93"/>
    </row>
    <row r="333" spans="7:7">
      <c r="G333" s="93"/>
    </row>
    <row r="334" spans="7:7">
      <c r="G334" s="93"/>
    </row>
    <row r="335" spans="7:7">
      <c r="G335" s="93"/>
    </row>
    <row r="336" spans="7:7">
      <c r="G336" s="93"/>
    </row>
    <row r="337" spans="7:7">
      <c r="G337" s="93"/>
    </row>
    <row r="338" spans="7:7">
      <c r="G338" s="93"/>
    </row>
    <row r="339" spans="7:7">
      <c r="G339" s="93"/>
    </row>
    <row r="340" spans="7:7">
      <c r="G340" s="93"/>
    </row>
    <row r="341" spans="7:7">
      <c r="G341" s="93"/>
    </row>
    <row r="342" spans="7:7">
      <c r="G342" s="93"/>
    </row>
    <row r="343" spans="7:7">
      <c r="G343" s="93"/>
    </row>
    <row r="344" spans="7:7">
      <c r="G344" s="93"/>
    </row>
    <row r="345" spans="7:7">
      <c r="G345" s="93"/>
    </row>
    <row r="346" spans="7:7">
      <c r="G346" s="93"/>
    </row>
    <row r="347" spans="7:7">
      <c r="G347" s="93"/>
    </row>
    <row r="348" spans="7:7">
      <c r="G348" s="93"/>
    </row>
    <row r="349" spans="7:7">
      <c r="G349" s="93"/>
    </row>
    <row r="350" spans="7:7">
      <c r="G350" s="93"/>
    </row>
    <row r="351" spans="7:7">
      <c r="G351" s="93"/>
    </row>
    <row r="352" spans="7:7">
      <c r="G352" s="93"/>
    </row>
    <row r="353" spans="7:7">
      <c r="G353" s="93"/>
    </row>
    <row r="354" spans="7:7">
      <c r="G354" s="93"/>
    </row>
    <row r="355" spans="7:7">
      <c r="G355" s="93"/>
    </row>
    <row r="356" spans="7:7">
      <c r="G356" s="93"/>
    </row>
    <row r="357" spans="7:7">
      <c r="G357" s="93"/>
    </row>
    <row r="358" spans="7:7">
      <c r="G358" s="93"/>
    </row>
    <row r="359" spans="7:7">
      <c r="G359" s="93"/>
    </row>
    <row r="360" spans="7:7">
      <c r="G360" s="93"/>
    </row>
    <row r="361" spans="7:7">
      <c r="G361" s="93"/>
    </row>
    <row r="362" spans="7:7">
      <c r="G362" s="93"/>
    </row>
    <row r="363" spans="7:7">
      <c r="G363" s="93"/>
    </row>
    <row r="364" spans="7:7">
      <c r="G364" s="93"/>
    </row>
    <row r="365" spans="7:7">
      <c r="G365" s="93"/>
    </row>
    <row r="366" spans="7:7">
      <c r="G366" s="93"/>
    </row>
    <row r="367" spans="7:7">
      <c r="G367" s="93"/>
    </row>
    <row r="368" spans="7:7">
      <c r="G368" s="93"/>
    </row>
    <row r="369" spans="7:7">
      <c r="G369" s="93"/>
    </row>
    <row r="370" spans="7:7">
      <c r="G370" s="93"/>
    </row>
    <row r="371" spans="7:7">
      <c r="G371" s="93"/>
    </row>
    <row r="372" spans="7:7">
      <c r="G372" s="93"/>
    </row>
    <row r="373" spans="7:7">
      <c r="G373" s="93"/>
    </row>
    <row r="374" spans="7:7">
      <c r="G374" s="93"/>
    </row>
    <row r="375" spans="7:7">
      <c r="G375" s="93"/>
    </row>
    <row r="376" spans="7:7">
      <c r="G376" s="93"/>
    </row>
    <row r="377" spans="7:7">
      <c r="G377" s="93"/>
    </row>
    <row r="378" spans="7:7">
      <c r="G378" s="93"/>
    </row>
    <row r="379" spans="7:7">
      <c r="G379" s="93"/>
    </row>
    <row r="380" spans="7:7">
      <c r="G380" s="93"/>
    </row>
    <row r="381" spans="7:7">
      <c r="G381" s="93"/>
    </row>
    <row r="382" spans="7:7">
      <c r="G382" s="93"/>
    </row>
    <row r="383" spans="7:7">
      <c r="G383" s="93"/>
    </row>
    <row r="384" spans="7:7">
      <c r="G384" s="93"/>
    </row>
    <row r="385" spans="2:10">
      <c r="G385" s="93"/>
    </row>
    <row r="386" spans="2:10">
      <c r="G386" s="93"/>
    </row>
    <row r="387" spans="2:10">
      <c r="G387" s="93"/>
    </row>
    <row r="388" spans="2:10">
      <c r="G388" s="93"/>
    </row>
    <row r="389" spans="2:10">
      <c r="G389" s="93"/>
    </row>
    <row r="390" spans="2:10">
      <c r="G390" s="93"/>
    </row>
    <row r="391" spans="2:10">
      <c r="G391" s="93"/>
    </row>
    <row r="392" spans="2:10">
      <c r="G392" s="93"/>
    </row>
    <row r="393" spans="2:10">
      <c r="G393" s="93"/>
    </row>
    <row r="394" spans="2:10">
      <c r="G394" s="93"/>
    </row>
    <row r="395" spans="2:10">
      <c r="G395" s="93"/>
    </row>
    <row r="396" spans="2:10">
      <c r="G396" s="93"/>
    </row>
    <row r="397" spans="2:10">
      <c r="G397" s="93"/>
    </row>
    <row r="398" spans="2:10">
      <c r="B398" s="93" t="s">
        <v>539</v>
      </c>
      <c r="C398" s="187" t="s">
        <v>540</v>
      </c>
      <c r="D398" s="135" t="s">
        <v>9</v>
      </c>
      <c r="E398" s="135" t="s">
        <v>134</v>
      </c>
      <c r="F398" s="202" t="s">
        <v>82</v>
      </c>
      <c r="I398" s="35" t="s">
        <v>541</v>
      </c>
      <c r="J398" s="135" t="s">
        <v>542</v>
      </c>
    </row>
  </sheetData>
  <autoFilter ref="G1:G102" xr:uid="{00000000-0001-0000-0400-000000000000}">
    <sortState xmlns:xlrd2="http://schemas.microsoft.com/office/spreadsheetml/2017/richdata2" ref="A2:L102">
      <sortCondition sortBy="cellColor" ref="G1:G102" dxfId="0"/>
    </sortState>
  </autoFilter>
  <phoneticPr fontId="28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018A4-AA8B-4DE2-B1A7-5E9839708F05}">
  <sheetPr codeName="Лист81">
    <tabColor theme="4" tint="0.59999389629810485"/>
  </sheetPr>
  <dimension ref="A1:CZ55"/>
  <sheetViews>
    <sheetView topLeftCell="A6" zoomScaleNormal="100" workbookViewId="0">
      <selection activeCell="H58" sqref="H58"/>
    </sheetView>
  </sheetViews>
  <sheetFormatPr defaultColWidth="8.85546875" defaultRowHeight="15"/>
  <cols>
    <col min="1" max="1" width="3.85546875" style="205" customWidth="1"/>
    <col min="2" max="2" width="25.7109375" style="205" hidden="1" customWidth="1"/>
    <col min="3" max="3" width="36.42578125" style="205" bestFit="1" customWidth="1"/>
    <col min="4" max="4" width="15.7109375" style="213" customWidth="1"/>
    <col min="5" max="5" width="9.42578125" customWidth="1"/>
    <col min="6" max="6" width="4.140625" bestFit="1" customWidth="1"/>
    <col min="7" max="7" width="6" bestFit="1" customWidth="1"/>
    <col min="8" max="8" width="9.5703125" customWidth="1"/>
    <col min="9" max="9" width="30.28515625" customWidth="1"/>
    <col min="10" max="10" width="48.42578125" customWidth="1"/>
    <col min="11" max="11" width="34.42578125" customWidth="1"/>
  </cols>
  <sheetData>
    <row r="1" spans="1:104">
      <c r="L1">
        <f>SUM(L2:L27)</f>
        <v>90128</v>
      </c>
      <c r="M1">
        <f>SUM(M2:M27)</f>
        <v>0</v>
      </c>
      <c r="N1">
        <f>SUM(N2:N27)</f>
        <v>0</v>
      </c>
    </row>
    <row r="2" spans="1:104">
      <c r="A2" s="216">
        <v>4</v>
      </c>
      <c r="B2" s="217"/>
      <c r="C2" s="218" t="s">
        <v>480</v>
      </c>
      <c r="D2" s="162">
        <v>79671921632</v>
      </c>
      <c r="E2" s="162" t="s">
        <v>124</v>
      </c>
      <c r="F2" s="200"/>
      <c r="G2" s="177" t="s">
        <v>82</v>
      </c>
      <c r="H2" s="163">
        <v>10000</v>
      </c>
      <c r="I2" s="164" t="s">
        <v>61</v>
      </c>
      <c r="J2" s="162" t="s">
        <v>481</v>
      </c>
      <c r="K2" s="164"/>
      <c r="L2" s="101"/>
    </row>
    <row r="3" spans="1:104" s="167" customFormat="1">
      <c r="A3" s="165">
        <v>5</v>
      </c>
      <c r="B3" s="166"/>
      <c r="C3" s="168" t="s">
        <v>96</v>
      </c>
      <c r="D3" s="168" t="s">
        <v>97</v>
      </c>
      <c r="E3" s="168" t="s">
        <v>181</v>
      </c>
      <c r="F3" s="199"/>
      <c r="G3" s="178" t="s">
        <v>82</v>
      </c>
      <c r="H3" s="166">
        <v>9000</v>
      </c>
      <c r="I3" s="169" t="s">
        <v>384</v>
      </c>
      <c r="J3" s="168" t="s">
        <v>98</v>
      </c>
      <c r="K3" s="169"/>
      <c r="L3" s="16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</row>
    <row r="4" spans="1:104">
      <c r="A4" s="206">
        <v>6</v>
      </c>
      <c r="B4" s="207"/>
      <c r="C4" s="208" t="s">
        <v>99</v>
      </c>
      <c r="D4" s="162" t="s">
        <v>100</v>
      </c>
      <c r="E4" s="162" t="s">
        <v>181</v>
      </c>
      <c r="F4" s="200" t="s">
        <v>536</v>
      </c>
      <c r="G4" s="177" t="s">
        <v>82</v>
      </c>
      <c r="H4" s="163">
        <v>10000</v>
      </c>
      <c r="I4" s="164" t="s">
        <v>61</v>
      </c>
      <c r="J4" s="162"/>
      <c r="K4" s="164"/>
      <c r="L4" s="101"/>
    </row>
    <row r="5" spans="1:104" s="88" customFormat="1" ht="15.75" customHeight="1">
      <c r="A5" s="216">
        <v>8</v>
      </c>
      <c r="B5" s="217"/>
      <c r="C5" s="218" t="s">
        <v>104</v>
      </c>
      <c r="D5" s="162" t="s">
        <v>105</v>
      </c>
      <c r="E5" s="162" t="s">
        <v>124</v>
      </c>
      <c r="F5" s="200"/>
      <c r="G5" s="237" t="s">
        <v>94</v>
      </c>
      <c r="H5" s="163">
        <v>10000</v>
      </c>
      <c r="I5" s="164" t="s">
        <v>61</v>
      </c>
      <c r="J5" s="162"/>
      <c r="K5" s="164"/>
      <c r="L5" s="95"/>
    </row>
    <row r="6" spans="1:104" s="88" customFormat="1" ht="15.75" customHeight="1">
      <c r="A6" s="269">
        <v>11</v>
      </c>
      <c r="B6" s="270" t="s">
        <v>499</v>
      </c>
      <c r="C6" s="271" t="s">
        <v>500</v>
      </c>
      <c r="D6" s="162">
        <v>79153519871</v>
      </c>
      <c r="E6" s="162" t="s">
        <v>124</v>
      </c>
      <c r="F6" s="200" t="s">
        <v>536</v>
      </c>
      <c r="G6" s="177" t="s">
        <v>82</v>
      </c>
      <c r="H6" s="163">
        <v>10000</v>
      </c>
      <c r="I6" s="164" t="s">
        <v>61</v>
      </c>
      <c r="J6" s="162" t="s">
        <v>501</v>
      </c>
      <c r="K6" s="164" t="s">
        <v>502</v>
      </c>
      <c r="L6" s="101"/>
    </row>
    <row r="7" spans="1:104">
      <c r="A7" s="160">
        <v>12</v>
      </c>
      <c r="B7" s="161"/>
      <c r="C7" s="162" t="s">
        <v>112</v>
      </c>
      <c r="D7" s="162" t="s">
        <v>113</v>
      </c>
      <c r="E7" s="162" t="s">
        <v>124</v>
      </c>
      <c r="F7" s="200"/>
      <c r="G7" s="177" t="s">
        <v>82</v>
      </c>
      <c r="H7" s="163">
        <v>9000</v>
      </c>
      <c r="I7" s="164" t="s">
        <v>384</v>
      </c>
      <c r="J7" s="162"/>
      <c r="K7" s="164"/>
      <c r="L7" s="101"/>
    </row>
    <row r="8" spans="1:104" s="88" customFormat="1" ht="15.75" customHeight="1">
      <c r="A8" s="141">
        <v>17</v>
      </c>
      <c r="B8" s="142"/>
      <c r="C8" s="143" t="s">
        <v>122</v>
      </c>
      <c r="D8" s="143" t="s">
        <v>123</v>
      </c>
      <c r="E8" s="143" t="s">
        <v>124</v>
      </c>
      <c r="F8" s="198"/>
      <c r="G8" s="177" t="s">
        <v>82</v>
      </c>
      <c r="H8" s="144">
        <v>10000</v>
      </c>
      <c r="I8" s="145" t="s">
        <v>61</v>
      </c>
      <c r="J8" s="143" t="s">
        <v>125</v>
      </c>
      <c r="K8" s="145"/>
      <c r="L8" s="145"/>
    </row>
    <row r="9" spans="1:104" s="88" customFormat="1" ht="15.75" customHeight="1">
      <c r="A9" s="160">
        <v>18</v>
      </c>
      <c r="B9" s="161"/>
      <c r="C9" s="162" t="s">
        <v>126</v>
      </c>
      <c r="D9" s="162" t="s">
        <v>127</v>
      </c>
      <c r="E9" s="162" t="s">
        <v>124</v>
      </c>
      <c r="F9" s="200"/>
      <c r="G9" s="177" t="s">
        <v>82</v>
      </c>
      <c r="H9" s="163">
        <v>10000</v>
      </c>
      <c r="I9" s="164" t="s">
        <v>61</v>
      </c>
      <c r="J9" s="162" t="s">
        <v>128</v>
      </c>
      <c r="K9" s="164"/>
      <c r="L9" s="145"/>
    </row>
    <row r="10" spans="1:104">
      <c r="A10" s="222">
        <v>19</v>
      </c>
      <c r="B10" s="245"/>
      <c r="C10" s="246" t="s">
        <v>129</v>
      </c>
      <c r="D10" s="246" t="s">
        <v>130</v>
      </c>
      <c r="E10" s="246" t="s">
        <v>124</v>
      </c>
      <c r="F10" s="227"/>
      <c r="G10" s="247" t="s">
        <v>82</v>
      </c>
      <c r="H10" s="248">
        <v>20000</v>
      </c>
      <c r="I10" s="249" t="s">
        <v>385</v>
      </c>
      <c r="J10" s="246" t="s">
        <v>131</v>
      </c>
      <c r="K10" s="250">
        <v>4509673300</v>
      </c>
      <c r="L10" s="101"/>
    </row>
    <row r="11" spans="1:104">
      <c r="A11" s="251">
        <v>20</v>
      </c>
      <c r="B11" s="252"/>
      <c r="C11" s="253" t="s">
        <v>373</v>
      </c>
      <c r="D11" s="253" t="s">
        <v>130</v>
      </c>
      <c r="E11" s="253" t="s">
        <v>124</v>
      </c>
      <c r="F11" s="254"/>
      <c r="G11" s="247" t="s">
        <v>82</v>
      </c>
      <c r="H11" s="247"/>
      <c r="I11" s="255"/>
      <c r="J11" s="253" t="s">
        <v>131</v>
      </c>
      <c r="K11" s="255"/>
      <c r="L11" s="100"/>
    </row>
    <row r="12" spans="1:104" s="88" customFormat="1" ht="15.75" customHeight="1">
      <c r="A12" s="209">
        <v>23</v>
      </c>
      <c r="B12" s="210"/>
      <c r="C12" s="211" t="s">
        <v>139</v>
      </c>
      <c r="D12" s="168" t="s">
        <v>140</v>
      </c>
      <c r="E12" s="168" t="s">
        <v>124</v>
      </c>
      <c r="F12" s="199"/>
      <c r="G12" s="177" t="s">
        <v>82</v>
      </c>
      <c r="H12" s="166">
        <v>10000</v>
      </c>
      <c r="I12" s="169" t="s">
        <v>61</v>
      </c>
      <c r="J12" s="168" t="s">
        <v>141</v>
      </c>
      <c r="K12" s="169"/>
      <c r="L12" s="145"/>
    </row>
    <row r="13" spans="1:104">
      <c r="A13" s="219">
        <v>26</v>
      </c>
      <c r="B13" s="220"/>
      <c r="C13" s="278" t="s">
        <v>148</v>
      </c>
      <c r="D13" s="168" t="s">
        <v>149</v>
      </c>
      <c r="E13" s="168" t="s">
        <v>150</v>
      </c>
      <c r="F13" s="199"/>
      <c r="G13" s="139" t="s">
        <v>94</v>
      </c>
      <c r="H13" s="166">
        <v>10000</v>
      </c>
      <c r="I13" s="169" t="s">
        <v>61</v>
      </c>
      <c r="J13" s="168" t="s">
        <v>151</v>
      </c>
      <c r="K13" s="169" t="s">
        <v>152</v>
      </c>
      <c r="L13" s="136">
        <v>44530</v>
      </c>
    </row>
    <row r="14" spans="1:104" s="167" customFormat="1">
      <c r="A14" s="216">
        <v>27</v>
      </c>
      <c r="B14" s="217"/>
      <c r="C14" s="218" t="s">
        <v>153</v>
      </c>
      <c r="D14" s="162" t="s">
        <v>154</v>
      </c>
      <c r="E14" s="162" t="s">
        <v>124</v>
      </c>
      <c r="F14" s="200"/>
      <c r="G14" s="177" t="s">
        <v>82</v>
      </c>
      <c r="H14" s="163">
        <v>10000</v>
      </c>
      <c r="I14" s="164" t="s">
        <v>61</v>
      </c>
      <c r="J14" s="162" t="s">
        <v>155</v>
      </c>
      <c r="K14" s="164" t="s">
        <v>156</v>
      </c>
      <c r="L14" s="169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</row>
    <row r="15" spans="1:104">
      <c r="A15" s="165">
        <v>28</v>
      </c>
      <c r="B15" s="166"/>
      <c r="C15" s="185" t="s">
        <v>157</v>
      </c>
      <c r="D15" s="168" t="s">
        <v>158</v>
      </c>
      <c r="E15" s="168" t="s">
        <v>150</v>
      </c>
      <c r="F15" s="199"/>
      <c r="G15" s="139" t="s">
        <v>94</v>
      </c>
      <c r="H15" s="166">
        <v>10000</v>
      </c>
      <c r="I15" s="169" t="s">
        <v>61</v>
      </c>
      <c r="J15" s="168" t="s">
        <v>159</v>
      </c>
      <c r="K15" s="169"/>
      <c r="L15" s="101"/>
    </row>
    <row r="16" spans="1:104" s="167" customFormat="1">
      <c r="A16" s="160">
        <v>29</v>
      </c>
      <c r="B16" s="161"/>
      <c r="C16" s="186" t="s">
        <v>160</v>
      </c>
      <c r="D16" s="162" t="s">
        <v>161</v>
      </c>
      <c r="E16" s="162" t="s">
        <v>124</v>
      </c>
      <c r="F16" s="200"/>
      <c r="G16" s="177" t="s">
        <v>94</v>
      </c>
      <c r="H16" s="163">
        <v>10000</v>
      </c>
      <c r="I16" s="164" t="s">
        <v>61</v>
      </c>
      <c r="J16" s="162" t="s">
        <v>162</v>
      </c>
      <c r="K16" s="164" t="s">
        <v>163</v>
      </c>
      <c r="L16" s="169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</row>
    <row r="17" spans="1:12">
      <c r="A17" s="260">
        <v>30</v>
      </c>
      <c r="B17" s="279"/>
      <c r="C17" s="262" t="s">
        <v>164</v>
      </c>
      <c r="D17" s="168" t="s">
        <v>165</v>
      </c>
      <c r="E17" s="168" t="s">
        <v>124</v>
      </c>
      <c r="F17" s="199">
        <v>12</v>
      </c>
      <c r="G17" s="177" t="s">
        <v>82</v>
      </c>
      <c r="H17" s="166">
        <v>10000</v>
      </c>
      <c r="I17" s="169" t="s">
        <v>61</v>
      </c>
      <c r="J17" s="168" t="s">
        <v>166</v>
      </c>
      <c r="K17" s="169"/>
      <c r="L17" s="101"/>
    </row>
    <row r="18" spans="1:12">
      <c r="A18" s="206">
        <v>35</v>
      </c>
      <c r="B18" s="207"/>
      <c r="C18" s="208" t="s">
        <v>179</v>
      </c>
      <c r="D18" s="162" t="s">
        <v>180</v>
      </c>
      <c r="E18" s="162" t="s">
        <v>181</v>
      </c>
      <c r="F18" s="200"/>
      <c r="G18" s="177" t="s">
        <v>82</v>
      </c>
      <c r="H18" s="163">
        <v>10000</v>
      </c>
      <c r="I18" s="164" t="s">
        <v>61</v>
      </c>
      <c r="J18" s="162"/>
      <c r="K18" s="164"/>
      <c r="L18" s="99"/>
    </row>
    <row r="19" spans="1:12">
      <c r="A19" s="216">
        <v>38</v>
      </c>
      <c r="B19" s="217"/>
      <c r="C19" s="218" t="s">
        <v>189</v>
      </c>
      <c r="D19" s="162" t="s">
        <v>190</v>
      </c>
      <c r="E19" s="162" t="s">
        <v>181</v>
      </c>
      <c r="F19" s="200"/>
      <c r="G19" s="177" t="s">
        <v>82</v>
      </c>
      <c r="H19" s="163">
        <v>9000</v>
      </c>
      <c r="I19" s="164" t="s">
        <v>384</v>
      </c>
      <c r="J19" s="162"/>
      <c r="K19" s="164"/>
      <c r="L19" s="99">
        <v>45598</v>
      </c>
    </row>
    <row r="20" spans="1:12">
      <c r="A20" s="219">
        <v>39</v>
      </c>
      <c r="B20" s="220"/>
      <c r="C20" s="221" t="s">
        <v>356</v>
      </c>
      <c r="D20" s="168">
        <v>89778591330</v>
      </c>
      <c r="E20" s="168" t="s">
        <v>150</v>
      </c>
      <c r="F20" s="204"/>
      <c r="G20" s="178" t="s">
        <v>82</v>
      </c>
      <c r="H20" s="166">
        <v>10000</v>
      </c>
      <c r="I20" s="169" t="s">
        <v>61</v>
      </c>
      <c r="J20" s="168" t="s">
        <v>357</v>
      </c>
      <c r="K20" s="169" t="s">
        <v>358</v>
      </c>
      <c r="L20" s="101"/>
    </row>
    <row r="21" spans="1:12">
      <c r="A21" s="232">
        <v>48</v>
      </c>
      <c r="B21" s="233"/>
      <c r="C21" s="234" t="s">
        <v>195</v>
      </c>
      <c r="D21" s="168" t="s">
        <v>196</v>
      </c>
      <c r="E21" s="168" t="s">
        <v>124</v>
      </c>
      <c r="F21" s="199"/>
      <c r="G21" s="148" t="s">
        <v>94</v>
      </c>
      <c r="H21" s="166">
        <v>9000</v>
      </c>
      <c r="I21" s="169" t="s">
        <v>384</v>
      </c>
      <c r="J21" s="203" t="s">
        <v>490</v>
      </c>
      <c r="K21" s="169">
        <v>7505708544</v>
      </c>
      <c r="L21" s="196"/>
    </row>
    <row r="22" spans="1:12">
      <c r="A22" s="219">
        <v>49</v>
      </c>
      <c r="B22" s="235"/>
      <c r="C22" s="236" t="s">
        <v>197</v>
      </c>
      <c r="D22" s="168" t="s">
        <v>198</v>
      </c>
      <c r="E22" s="168" t="s">
        <v>124</v>
      </c>
      <c r="F22" s="199" t="s">
        <v>536</v>
      </c>
      <c r="G22" s="148" t="s">
        <v>94</v>
      </c>
      <c r="H22" s="166">
        <v>10000</v>
      </c>
      <c r="I22" s="169" t="s">
        <v>61</v>
      </c>
      <c r="J22" s="203" t="s">
        <v>199</v>
      </c>
      <c r="K22" s="169"/>
      <c r="L22" s="94"/>
    </row>
    <row r="23" spans="1:12">
      <c r="A23" s="229">
        <v>51</v>
      </c>
      <c r="B23" s="230" t="s">
        <v>331</v>
      </c>
      <c r="C23" s="231" t="s">
        <v>332</v>
      </c>
      <c r="D23" s="157">
        <v>89999876652</v>
      </c>
      <c r="E23" s="157" t="s">
        <v>150</v>
      </c>
      <c r="F23" s="201"/>
      <c r="G23" s="139" t="s">
        <v>94</v>
      </c>
      <c r="H23" s="158">
        <v>10000</v>
      </c>
      <c r="I23" s="159" t="s">
        <v>61</v>
      </c>
      <c r="J23" s="157" t="s">
        <v>333</v>
      </c>
      <c r="K23" s="159"/>
      <c r="L23" s="98"/>
    </row>
    <row r="24" spans="1:12">
      <c r="A24" s="232">
        <v>56</v>
      </c>
      <c r="B24" s="233" t="s">
        <v>348</v>
      </c>
      <c r="C24" s="234" t="s">
        <v>349</v>
      </c>
      <c r="D24" s="162" t="s">
        <v>350</v>
      </c>
      <c r="E24" s="162" t="s">
        <v>150</v>
      </c>
      <c r="F24" s="200"/>
      <c r="G24" s="237" t="s">
        <v>94</v>
      </c>
      <c r="H24" s="163">
        <v>9000</v>
      </c>
      <c r="I24" s="164" t="s">
        <v>384</v>
      </c>
      <c r="J24" s="162" t="s">
        <v>351</v>
      </c>
      <c r="K24" s="164" t="s">
        <v>352</v>
      </c>
      <c r="L24" s="99"/>
    </row>
    <row r="25" spans="1:12">
      <c r="A25" s="260">
        <v>57</v>
      </c>
      <c r="B25" s="261" t="s">
        <v>353</v>
      </c>
      <c r="C25" s="262" t="s">
        <v>354</v>
      </c>
      <c r="D25" s="168">
        <v>79160601089</v>
      </c>
      <c r="E25" s="168" t="s">
        <v>124</v>
      </c>
      <c r="F25" s="199"/>
      <c r="G25" s="177" t="s">
        <v>82</v>
      </c>
      <c r="H25" s="166">
        <v>10000</v>
      </c>
      <c r="I25" s="169" t="s">
        <v>61</v>
      </c>
      <c r="J25" s="168" t="s">
        <v>355</v>
      </c>
      <c r="K25" s="169"/>
      <c r="L25" s="164"/>
    </row>
    <row r="26" spans="1:12">
      <c r="A26" s="216">
        <v>59</v>
      </c>
      <c r="B26" s="217" t="s">
        <v>363</v>
      </c>
      <c r="C26" s="218" t="s">
        <v>365</v>
      </c>
      <c r="D26" s="162">
        <v>89373638799</v>
      </c>
      <c r="E26" s="162" t="s">
        <v>124</v>
      </c>
      <c r="F26" s="200"/>
      <c r="G26" s="177" t="s">
        <v>82</v>
      </c>
      <c r="H26" s="163">
        <v>10000</v>
      </c>
      <c r="I26" s="164" t="s">
        <v>61</v>
      </c>
      <c r="J26" s="162" t="s">
        <v>364</v>
      </c>
      <c r="K26" s="164">
        <v>8005261502</v>
      </c>
      <c r="L26" s="98"/>
    </row>
    <row r="27" spans="1:12">
      <c r="A27" s="206">
        <v>60</v>
      </c>
      <c r="B27" s="207" t="s">
        <v>370</v>
      </c>
      <c r="C27" s="215" t="s">
        <v>371</v>
      </c>
      <c r="D27" s="162">
        <v>79160536196</v>
      </c>
      <c r="E27" s="162" t="s">
        <v>124</v>
      </c>
      <c r="F27" s="200"/>
      <c r="G27" s="177" t="s">
        <v>94</v>
      </c>
      <c r="H27" s="163">
        <v>10000</v>
      </c>
      <c r="I27" s="164" t="s">
        <v>61</v>
      </c>
      <c r="J27" s="162" t="s">
        <v>372</v>
      </c>
      <c r="K27" s="164">
        <v>4521425299</v>
      </c>
      <c r="L27" s="101"/>
    </row>
    <row r="28" spans="1:12">
      <c r="A28" s="269">
        <v>64</v>
      </c>
      <c r="B28" s="276" t="s">
        <v>379</v>
      </c>
      <c r="C28" s="277" t="s">
        <v>380</v>
      </c>
      <c r="D28" s="162">
        <v>89652460310</v>
      </c>
      <c r="E28" s="162" t="s">
        <v>150</v>
      </c>
      <c r="F28" s="200"/>
      <c r="G28" s="144" t="s">
        <v>94</v>
      </c>
      <c r="H28" s="163">
        <v>10000</v>
      </c>
      <c r="I28" s="164" t="s">
        <v>61</v>
      </c>
      <c r="J28" s="162" t="s">
        <v>381</v>
      </c>
      <c r="K28" s="164"/>
      <c r="L28" s="98"/>
    </row>
    <row r="29" spans="1:12">
      <c r="A29" s="165">
        <v>66</v>
      </c>
      <c r="B29" s="166" t="s">
        <v>389</v>
      </c>
      <c r="C29" s="168" t="s">
        <v>390</v>
      </c>
      <c r="D29" s="168" t="s">
        <v>391</v>
      </c>
      <c r="E29" s="168" t="s">
        <v>150</v>
      </c>
      <c r="F29" s="199"/>
      <c r="G29" s="178" t="s">
        <v>82</v>
      </c>
      <c r="H29" s="166">
        <v>10000</v>
      </c>
      <c r="I29" s="169" t="s">
        <v>61</v>
      </c>
      <c r="J29" s="168" t="s">
        <v>392</v>
      </c>
      <c r="K29" s="169"/>
      <c r="L29" s="98"/>
    </row>
    <row r="30" spans="1:12">
      <c r="A30" s="209">
        <v>67</v>
      </c>
      <c r="B30" s="210" t="s">
        <v>393</v>
      </c>
      <c r="C30" s="211" t="s">
        <v>394</v>
      </c>
      <c r="D30" s="168">
        <v>89168598849</v>
      </c>
      <c r="E30" s="168" t="s">
        <v>124</v>
      </c>
      <c r="F30" s="199"/>
      <c r="G30" s="178" t="s">
        <v>82</v>
      </c>
      <c r="H30" s="166">
        <v>10000</v>
      </c>
      <c r="I30" s="169" t="s">
        <v>61</v>
      </c>
      <c r="J30" s="168" t="s">
        <v>395</v>
      </c>
      <c r="K30" s="169"/>
      <c r="L30" s="169"/>
    </row>
    <row r="31" spans="1:12">
      <c r="A31" s="222">
        <v>72</v>
      </c>
      <c r="B31" s="222" t="s">
        <v>406</v>
      </c>
      <c r="C31" s="223" t="s">
        <v>407</v>
      </c>
      <c r="D31" s="223">
        <v>79199995678</v>
      </c>
      <c r="E31" s="223" t="s">
        <v>150</v>
      </c>
      <c r="F31" s="222"/>
      <c r="G31" s="222" t="s">
        <v>82</v>
      </c>
      <c r="H31" s="222">
        <v>6000</v>
      </c>
      <c r="I31" s="223" t="s">
        <v>415</v>
      </c>
      <c r="J31" s="223"/>
      <c r="K31" s="223">
        <v>4608206833</v>
      </c>
      <c r="L31" s="148"/>
    </row>
    <row r="32" spans="1:12">
      <c r="A32" s="224">
        <v>73</v>
      </c>
      <c r="B32" s="225" t="s">
        <v>408</v>
      </c>
      <c r="C32" s="226" t="s">
        <v>409</v>
      </c>
      <c r="D32" s="226">
        <v>89163522055</v>
      </c>
      <c r="E32" s="226" t="s">
        <v>150</v>
      </c>
      <c r="F32" s="227"/>
      <c r="G32" s="225" t="s">
        <v>82</v>
      </c>
      <c r="H32" s="225">
        <v>6000</v>
      </c>
      <c r="I32" s="228" t="s">
        <v>415</v>
      </c>
      <c r="J32" s="226" t="s">
        <v>410</v>
      </c>
      <c r="K32" s="228">
        <v>4512844826</v>
      </c>
      <c r="L32" s="191"/>
    </row>
    <row r="33" spans="1:104" s="167" customFormat="1">
      <c r="A33" s="219">
        <v>74</v>
      </c>
      <c r="B33" s="220"/>
      <c r="C33" s="278" t="s">
        <v>416</v>
      </c>
      <c r="D33" s="168">
        <v>79166599458</v>
      </c>
      <c r="E33" s="168" t="s">
        <v>150</v>
      </c>
      <c r="F33" s="199"/>
      <c r="G33" s="178" t="s">
        <v>94</v>
      </c>
      <c r="H33" s="166">
        <v>10000</v>
      </c>
      <c r="I33" s="169" t="s">
        <v>61</v>
      </c>
      <c r="J33" s="168" t="s">
        <v>417</v>
      </c>
      <c r="K33" s="169"/>
      <c r="L33" s="169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</row>
    <row r="34" spans="1:104" s="167" customFormat="1">
      <c r="A34" s="156">
        <v>76</v>
      </c>
      <c r="B34" s="194"/>
      <c r="C34" s="188" t="s">
        <v>484</v>
      </c>
      <c r="D34" s="191">
        <v>79252627718</v>
      </c>
      <c r="E34" s="191" t="s">
        <v>124</v>
      </c>
      <c r="F34" s="156"/>
      <c r="G34" s="180" t="s">
        <v>94</v>
      </c>
      <c r="H34" s="156">
        <v>10000</v>
      </c>
      <c r="I34" s="191" t="s">
        <v>61</v>
      </c>
      <c r="J34" s="191" t="s">
        <v>485</v>
      </c>
      <c r="K34" s="191"/>
      <c r="L34" s="148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</row>
    <row r="35" spans="1:104" s="167" customFormat="1">
      <c r="A35" s="216">
        <v>77</v>
      </c>
      <c r="B35" s="217"/>
      <c r="C35" s="218" t="s">
        <v>478</v>
      </c>
      <c r="D35" s="162">
        <v>79161513209</v>
      </c>
      <c r="E35" s="162" t="s">
        <v>181</v>
      </c>
      <c r="F35" s="200"/>
      <c r="G35" s="177" t="s">
        <v>82</v>
      </c>
      <c r="H35" s="163">
        <v>10000</v>
      </c>
      <c r="I35" s="164" t="s">
        <v>61</v>
      </c>
      <c r="J35" s="162" t="s">
        <v>479</v>
      </c>
      <c r="K35" s="164">
        <v>4523948548</v>
      </c>
      <c r="L35" s="19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</row>
    <row r="36" spans="1:104" s="167" customFormat="1">
      <c r="A36" s="206">
        <v>78</v>
      </c>
      <c r="B36" s="207"/>
      <c r="C36" s="208" t="s">
        <v>429</v>
      </c>
      <c r="D36" s="162">
        <v>79219424877</v>
      </c>
      <c r="E36" s="162" t="s">
        <v>150</v>
      </c>
      <c r="F36" s="200"/>
      <c r="G36" s="177" t="s">
        <v>82</v>
      </c>
      <c r="H36" s="163">
        <v>10000</v>
      </c>
      <c r="I36" s="164" t="s">
        <v>61</v>
      </c>
      <c r="J36" s="162" t="s">
        <v>430</v>
      </c>
      <c r="K36" s="164"/>
      <c r="L36" s="101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</row>
    <row r="37" spans="1:104">
      <c r="A37" s="206">
        <v>79</v>
      </c>
      <c r="B37" s="212"/>
      <c r="C37" s="208" t="s">
        <v>431</v>
      </c>
      <c r="D37" s="162" t="s">
        <v>433</v>
      </c>
      <c r="E37" s="162" t="s">
        <v>150</v>
      </c>
      <c r="F37" s="200"/>
      <c r="G37" s="177" t="s">
        <v>82</v>
      </c>
      <c r="H37" s="163">
        <v>10000</v>
      </c>
      <c r="I37" s="164" t="s">
        <v>61</v>
      </c>
      <c r="J37" s="162"/>
      <c r="K37" s="164"/>
      <c r="L37" s="101"/>
    </row>
    <row r="38" spans="1:104">
      <c r="A38" s="165">
        <v>80</v>
      </c>
      <c r="B38" s="166"/>
      <c r="C38" s="168" t="s">
        <v>475</v>
      </c>
      <c r="D38" s="168" t="s">
        <v>432</v>
      </c>
      <c r="E38" s="168" t="s">
        <v>150</v>
      </c>
      <c r="F38" s="199"/>
      <c r="G38" s="178" t="s">
        <v>82</v>
      </c>
      <c r="H38" s="166">
        <v>10000</v>
      </c>
      <c r="I38" s="169" t="s">
        <v>61</v>
      </c>
      <c r="J38" s="168"/>
      <c r="K38" s="169"/>
      <c r="L38" s="164"/>
    </row>
    <row r="39" spans="1:104" s="264" customFormat="1">
      <c r="A39" s="224">
        <v>81</v>
      </c>
      <c r="B39" s="225" t="s">
        <v>434</v>
      </c>
      <c r="C39" s="226" t="s">
        <v>435</v>
      </c>
      <c r="D39" s="226">
        <v>79778696199</v>
      </c>
      <c r="E39" s="226" t="s">
        <v>150</v>
      </c>
      <c r="F39" s="227"/>
      <c r="G39" s="225" t="s">
        <v>82</v>
      </c>
      <c r="H39" s="225">
        <v>20000</v>
      </c>
      <c r="I39" s="228" t="s">
        <v>385</v>
      </c>
      <c r="J39" s="226" t="s">
        <v>436</v>
      </c>
      <c r="K39" s="228" t="s">
        <v>437</v>
      </c>
      <c r="L39" s="263"/>
    </row>
    <row r="40" spans="1:104" s="264" customFormat="1">
      <c r="A40" s="224">
        <v>82</v>
      </c>
      <c r="B40" s="225" t="s">
        <v>438</v>
      </c>
      <c r="C40" s="226" t="s">
        <v>439</v>
      </c>
      <c r="D40" s="226">
        <v>89263785399</v>
      </c>
      <c r="E40" s="226" t="s">
        <v>150</v>
      </c>
      <c r="F40" s="227"/>
      <c r="G40" s="225" t="s">
        <v>82</v>
      </c>
      <c r="H40" s="225"/>
      <c r="I40" s="228" t="s">
        <v>61</v>
      </c>
      <c r="J40" s="226" t="s">
        <v>440</v>
      </c>
      <c r="K40" s="228">
        <v>2808949811</v>
      </c>
      <c r="L40" s="263"/>
    </row>
    <row r="41" spans="1:104" s="167" customFormat="1">
      <c r="A41" s="219">
        <v>83</v>
      </c>
      <c r="B41" s="220" t="s">
        <v>441</v>
      </c>
      <c r="C41" s="221" t="s">
        <v>442</v>
      </c>
      <c r="D41" s="168">
        <v>89997840474</v>
      </c>
      <c r="E41" s="168" t="s">
        <v>150</v>
      </c>
      <c r="F41" s="199"/>
      <c r="G41" s="178" t="s">
        <v>82</v>
      </c>
      <c r="H41" s="166">
        <v>10000</v>
      </c>
      <c r="I41" s="169" t="s">
        <v>61</v>
      </c>
      <c r="J41" s="168" t="s">
        <v>443</v>
      </c>
      <c r="K41" s="169" t="s">
        <v>444</v>
      </c>
      <c r="L41" s="169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</row>
    <row r="42" spans="1:104" s="167" customFormat="1">
      <c r="A42" s="165">
        <v>85</v>
      </c>
      <c r="B42" s="166" t="s">
        <v>449</v>
      </c>
      <c r="C42" s="168" t="s">
        <v>450</v>
      </c>
      <c r="D42" s="168">
        <v>79150352228</v>
      </c>
      <c r="E42" s="168" t="s">
        <v>150</v>
      </c>
      <c r="F42" s="199"/>
      <c r="G42" s="178" t="s">
        <v>82</v>
      </c>
      <c r="H42" s="166">
        <v>10000</v>
      </c>
      <c r="I42" s="169" t="s">
        <v>61</v>
      </c>
      <c r="J42" s="168" t="s">
        <v>451</v>
      </c>
      <c r="K42" s="169">
        <v>4614725599</v>
      </c>
      <c r="L42" s="35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</row>
    <row r="43" spans="1:104" s="167" customFormat="1">
      <c r="A43" s="219">
        <v>86</v>
      </c>
      <c r="B43" s="220"/>
      <c r="C43" s="221" t="s">
        <v>454</v>
      </c>
      <c r="D43" s="168" t="s">
        <v>453</v>
      </c>
      <c r="E43" s="168" t="s">
        <v>150</v>
      </c>
      <c r="F43" s="199"/>
      <c r="G43" s="178" t="s">
        <v>82</v>
      </c>
      <c r="H43" s="166">
        <v>10000</v>
      </c>
      <c r="I43" s="169" t="s">
        <v>61</v>
      </c>
      <c r="J43" s="168"/>
      <c r="K43" s="169"/>
      <c r="L43" s="169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</row>
    <row r="44" spans="1:104">
      <c r="A44" s="209">
        <v>88</v>
      </c>
      <c r="B44" s="210"/>
      <c r="C44" s="214" t="s">
        <v>457</v>
      </c>
      <c r="D44" s="168">
        <v>79680116622</v>
      </c>
      <c r="E44" s="168" t="s">
        <v>181</v>
      </c>
      <c r="F44" s="199"/>
      <c r="G44" s="148" t="s">
        <v>94</v>
      </c>
      <c r="H44" s="166">
        <v>10000</v>
      </c>
      <c r="I44" s="169" t="s">
        <v>61</v>
      </c>
      <c r="J44" s="168"/>
      <c r="K44" s="169"/>
      <c r="L44" s="35"/>
    </row>
    <row r="45" spans="1:104" s="167" customFormat="1">
      <c r="A45" s="165">
        <v>89</v>
      </c>
      <c r="B45" s="166" t="s">
        <v>458</v>
      </c>
      <c r="C45" s="168" t="s">
        <v>459</v>
      </c>
      <c r="D45" s="168" t="s">
        <v>460</v>
      </c>
      <c r="E45" s="168" t="s">
        <v>150</v>
      </c>
      <c r="F45" s="199"/>
      <c r="G45" s="178" t="s">
        <v>82</v>
      </c>
      <c r="H45" s="166">
        <v>10000</v>
      </c>
      <c r="I45" s="169" t="s">
        <v>61</v>
      </c>
      <c r="J45" s="168"/>
      <c r="K45" s="169"/>
      <c r="L45" s="169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</row>
    <row r="46" spans="1:104" s="167" customFormat="1">
      <c r="A46" s="219">
        <v>90</v>
      </c>
      <c r="B46" s="235" t="s">
        <v>461</v>
      </c>
      <c r="C46" s="221" t="s">
        <v>462</v>
      </c>
      <c r="D46" s="168">
        <v>79031670150</v>
      </c>
      <c r="E46" s="168" t="s">
        <v>124</v>
      </c>
      <c r="F46" s="199"/>
      <c r="G46" s="178" t="s">
        <v>82</v>
      </c>
      <c r="H46" s="166">
        <v>10000</v>
      </c>
      <c r="I46" s="169" t="s">
        <v>61</v>
      </c>
      <c r="J46" s="168" t="s">
        <v>463</v>
      </c>
      <c r="K46" s="169" t="s">
        <v>464</v>
      </c>
      <c r="L46" s="169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</row>
    <row r="47" spans="1:104">
      <c r="A47" s="216">
        <v>91</v>
      </c>
      <c r="B47" s="217" t="s">
        <v>465</v>
      </c>
      <c r="C47" s="280" t="s">
        <v>466</v>
      </c>
      <c r="D47" s="162">
        <v>79036171419</v>
      </c>
      <c r="E47" s="162" t="s">
        <v>124</v>
      </c>
      <c r="F47" s="200"/>
      <c r="G47" s="144" t="s">
        <v>94</v>
      </c>
      <c r="H47" s="163">
        <v>10000</v>
      </c>
      <c r="I47" s="164" t="s">
        <v>61</v>
      </c>
      <c r="J47" s="162" t="s">
        <v>467</v>
      </c>
      <c r="K47" s="164"/>
      <c r="L47" s="94"/>
    </row>
    <row r="48" spans="1:104" s="167" customFormat="1">
      <c r="A48" s="260">
        <v>93</v>
      </c>
      <c r="B48" s="274" t="s">
        <v>471</v>
      </c>
      <c r="C48" s="275" t="s">
        <v>472</v>
      </c>
      <c r="D48" s="168">
        <v>89164760331</v>
      </c>
      <c r="E48" s="168" t="s">
        <v>181</v>
      </c>
      <c r="F48" s="199" t="s">
        <v>536</v>
      </c>
      <c r="G48" s="148" t="s">
        <v>94</v>
      </c>
      <c r="H48" s="166">
        <v>9500</v>
      </c>
      <c r="I48" s="169" t="s">
        <v>491</v>
      </c>
      <c r="J48" s="168" t="s">
        <v>473</v>
      </c>
      <c r="K48" s="169" t="s">
        <v>474</v>
      </c>
      <c r="L48" s="193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</row>
    <row r="49" spans="1:12">
      <c r="A49" s="160">
        <v>94</v>
      </c>
      <c r="B49" s="161" t="s">
        <v>486</v>
      </c>
      <c r="C49" s="186" t="s">
        <v>487</v>
      </c>
      <c r="D49" s="162">
        <v>89095551012</v>
      </c>
      <c r="E49" s="162" t="s">
        <v>124</v>
      </c>
      <c r="F49" s="200"/>
      <c r="G49" s="177" t="s">
        <v>94</v>
      </c>
      <c r="H49" s="163">
        <v>10000</v>
      </c>
      <c r="I49" s="164" t="s">
        <v>61</v>
      </c>
      <c r="J49" s="162" t="s">
        <v>488</v>
      </c>
      <c r="K49" s="164" t="s">
        <v>489</v>
      </c>
      <c r="L49" s="94"/>
    </row>
    <row r="50" spans="1:12">
      <c r="A50" s="216">
        <v>96</v>
      </c>
      <c r="B50" s="217"/>
      <c r="C50" s="280" t="s">
        <v>506</v>
      </c>
      <c r="D50" s="162" t="s">
        <v>507</v>
      </c>
      <c r="E50" s="162" t="s">
        <v>124</v>
      </c>
      <c r="F50" s="200"/>
      <c r="G50" s="144" t="s">
        <v>94</v>
      </c>
      <c r="H50" s="163">
        <v>10000</v>
      </c>
      <c r="I50" s="164" t="s">
        <v>61</v>
      </c>
      <c r="J50" s="162" t="s">
        <v>508</v>
      </c>
      <c r="K50" s="164">
        <v>4515053302</v>
      </c>
      <c r="L50" s="98"/>
    </row>
    <row r="51" spans="1:12">
      <c r="A51" s="206">
        <v>99</v>
      </c>
      <c r="B51" s="212" t="s">
        <v>521</v>
      </c>
      <c r="C51" s="208" t="s">
        <v>522</v>
      </c>
      <c r="D51" s="162">
        <v>79162382434</v>
      </c>
      <c r="E51" s="162" t="s">
        <v>124</v>
      </c>
      <c r="F51" s="200"/>
      <c r="G51" s="163" t="s">
        <v>82</v>
      </c>
      <c r="H51" s="163">
        <v>10000</v>
      </c>
      <c r="I51" s="164" t="s">
        <v>61</v>
      </c>
      <c r="J51" s="162"/>
      <c r="K51" s="164"/>
      <c r="L51" s="98"/>
    </row>
    <row r="52" spans="1:12">
      <c r="A52" s="206">
        <v>100</v>
      </c>
      <c r="B52" s="207"/>
      <c r="C52" s="208" t="s">
        <v>523</v>
      </c>
      <c r="D52" s="162" t="s">
        <v>524</v>
      </c>
      <c r="E52" s="162" t="s">
        <v>124</v>
      </c>
      <c r="F52" s="200"/>
      <c r="G52" s="177" t="s">
        <v>82</v>
      </c>
      <c r="H52" s="163">
        <v>10000</v>
      </c>
      <c r="I52" s="164" t="s">
        <v>61</v>
      </c>
      <c r="J52" s="162" t="s">
        <v>525</v>
      </c>
      <c r="K52" s="164">
        <v>4521381485</v>
      </c>
      <c r="L52" s="98"/>
    </row>
    <row r="53" spans="1:12">
      <c r="A53" s="206">
        <v>103</v>
      </c>
      <c r="B53" s="207"/>
      <c r="C53" s="208" t="s">
        <v>531</v>
      </c>
      <c r="D53" s="162">
        <v>79150158679</v>
      </c>
      <c r="E53" s="162" t="s">
        <v>124</v>
      </c>
      <c r="F53" s="200"/>
      <c r="G53" s="163" t="s">
        <v>82</v>
      </c>
      <c r="H53" s="163">
        <v>9500</v>
      </c>
      <c r="I53" s="164" t="s">
        <v>491</v>
      </c>
      <c r="J53" s="162"/>
      <c r="K53" s="164"/>
      <c r="L53" s="98"/>
    </row>
    <row r="54" spans="1:12">
      <c r="A54" s="206"/>
      <c r="B54" s="207"/>
      <c r="C54" s="208"/>
      <c r="D54" s="208"/>
      <c r="E54" s="162"/>
      <c r="F54" s="200"/>
      <c r="G54" s="163"/>
      <c r="H54" s="163"/>
      <c r="I54" s="164"/>
      <c r="J54" s="162"/>
      <c r="K54" s="164"/>
      <c r="L54" s="98"/>
    </row>
    <row r="55" spans="1:12">
      <c r="A55" s="206"/>
      <c r="B55" s="207"/>
      <c r="C55" s="208"/>
      <c r="D55" s="208"/>
      <c r="E55" s="162"/>
      <c r="F55" s="200"/>
      <c r="G55" s="163"/>
      <c r="H55" s="163"/>
      <c r="I55" s="164"/>
      <c r="J55" s="162"/>
      <c r="K55" s="164"/>
      <c r="L55" s="98"/>
    </row>
  </sheetData>
  <pageMargins left="0.23622047244094491" right="0.23622047244094491" top="0.39370078740157483" bottom="0.35433070866141736" header="0.31496062992125984" footer="0.31496062992125984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C62A-6BC8-451C-8E7E-BEB5D2EA375D}">
  <sheetPr codeName="Лист91">
    <tabColor theme="9" tint="0.59999389629810485"/>
  </sheetPr>
  <dimension ref="A2:CZ50"/>
  <sheetViews>
    <sheetView topLeftCell="A18" workbookViewId="0">
      <selection activeCell="E47" sqref="E47:E50"/>
    </sheetView>
  </sheetViews>
  <sheetFormatPr defaultColWidth="8.85546875" defaultRowHeight="15"/>
  <cols>
    <col min="2" max="2" width="0" hidden="1" customWidth="1"/>
    <col min="3" max="3" width="36.7109375" bestFit="1" customWidth="1"/>
    <col min="4" max="4" width="15.85546875" customWidth="1"/>
    <col min="5" max="5" width="17.42578125" customWidth="1"/>
    <col min="6" max="6" width="4.140625" bestFit="1" customWidth="1"/>
    <col min="7" max="7" width="6" bestFit="1" customWidth="1"/>
    <col min="8" max="8" width="28.28515625" bestFit="1" customWidth="1"/>
    <col min="9" max="9" width="59.85546875" bestFit="1" customWidth="1"/>
    <col min="10" max="10" width="11" bestFit="1" customWidth="1"/>
    <col min="11" max="11" width="10.140625" bestFit="1" customWidth="1"/>
  </cols>
  <sheetData>
    <row r="2" spans="1:104" s="88" customFormat="1" ht="15.75" customHeight="1">
      <c r="A2" s="197">
        <v>1</v>
      </c>
      <c r="B2" s="155"/>
      <c r="C2" s="182" t="s">
        <v>494</v>
      </c>
      <c r="D2" s="143">
        <v>79162941190</v>
      </c>
      <c r="E2" s="143" t="s">
        <v>134</v>
      </c>
      <c r="F2" s="198"/>
      <c r="G2" s="144" t="s">
        <v>94</v>
      </c>
      <c r="H2" s="144">
        <v>10000</v>
      </c>
      <c r="I2" s="145" t="s">
        <v>61</v>
      </c>
      <c r="J2" s="143" t="s">
        <v>495</v>
      </c>
      <c r="K2" s="145">
        <v>4617674047</v>
      </c>
      <c r="L2" s="101"/>
    </row>
    <row r="3" spans="1:104" s="167" customFormat="1">
      <c r="A3" s="266">
        <v>2</v>
      </c>
      <c r="B3" s="267"/>
      <c r="C3" s="268" t="s">
        <v>85</v>
      </c>
      <c r="D3" s="168" t="s">
        <v>86</v>
      </c>
      <c r="E3" s="168" t="s">
        <v>134</v>
      </c>
      <c r="F3" s="199"/>
      <c r="G3" s="178" t="s">
        <v>82</v>
      </c>
      <c r="H3" s="166">
        <v>18000</v>
      </c>
      <c r="I3" s="169" t="s">
        <v>388</v>
      </c>
      <c r="J3" s="168" t="s">
        <v>89</v>
      </c>
      <c r="K3" s="169"/>
      <c r="L3" s="16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</row>
    <row r="4" spans="1:104" s="167" customFormat="1">
      <c r="A4" s="266">
        <v>3</v>
      </c>
      <c r="B4" s="267"/>
      <c r="C4" s="268" t="s">
        <v>90</v>
      </c>
      <c r="D4" s="168" t="s">
        <v>86</v>
      </c>
      <c r="E4" s="168" t="s">
        <v>134</v>
      </c>
      <c r="F4" s="199"/>
      <c r="G4" s="178" t="s">
        <v>82</v>
      </c>
      <c r="H4" s="166"/>
      <c r="I4" s="169"/>
      <c r="J4" s="168" t="s">
        <v>89</v>
      </c>
      <c r="K4" s="169"/>
      <c r="L4" s="16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</row>
    <row r="5" spans="1:104">
      <c r="A5" s="197">
        <v>9</v>
      </c>
      <c r="B5" s="154"/>
      <c r="C5" s="138" t="s">
        <v>106</v>
      </c>
      <c r="D5" s="138" t="s">
        <v>107</v>
      </c>
      <c r="E5" s="138" t="s">
        <v>134</v>
      </c>
      <c r="F5" s="190"/>
      <c r="G5" s="178" t="s">
        <v>82</v>
      </c>
      <c r="H5" s="139">
        <v>18000</v>
      </c>
      <c r="I5" s="140" t="s">
        <v>383</v>
      </c>
      <c r="J5" s="138"/>
      <c r="K5" s="140"/>
      <c r="L5" s="101"/>
    </row>
    <row r="6" spans="1:104" s="88" customFormat="1" ht="15.75" customHeight="1">
      <c r="A6" s="197">
        <v>10</v>
      </c>
      <c r="B6" s="155"/>
      <c r="C6" s="143" t="s">
        <v>108</v>
      </c>
      <c r="D6" s="143" t="s">
        <v>109</v>
      </c>
      <c r="E6" s="143" t="s">
        <v>134</v>
      </c>
      <c r="F6" s="190"/>
      <c r="G6" s="178" t="s">
        <v>82</v>
      </c>
      <c r="H6" s="144"/>
      <c r="I6" s="145"/>
      <c r="J6" s="143"/>
      <c r="K6" s="145"/>
      <c r="L6" s="100"/>
    </row>
    <row r="7" spans="1:104">
      <c r="A7" s="146">
        <v>13</v>
      </c>
      <c r="B7" s="148" t="s">
        <v>503</v>
      </c>
      <c r="C7" s="183" t="s">
        <v>504</v>
      </c>
      <c r="D7" s="147">
        <v>89803920261</v>
      </c>
      <c r="E7" s="147" t="s">
        <v>134</v>
      </c>
      <c r="F7" s="190"/>
      <c r="G7" s="148" t="s">
        <v>94</v>
      </c>
      <c r="H7" s="144">
        <v>10000</v>
      </c>
      <c r="I7" s="145" t="s">
        <v>61</v>
      </c>
      <c r="J7" s="147" t="s">
        <v>505</v>
      </c>
      <c r="K7" s="149">
        <v>1416601445</v>
      </c>
      <c r="L7" s="101"/>
    </row>
    <row r="8" spans="1:104">
      <c r="A8" s="146">
        <v>14</v>
      </c>
      <c r="B8" s="148" t="s">
        <v>509</v>
      </c>
      <c r="C8" s="147" t="s">
        <v>510</v>
      </c>
      <c r="D8" s="147">
        <v>79039659901</v>
      </c>
      <c r="E8" s="147" t="s">
        <v>134</v>
      </c>
      <c r="F8" s="190"/>
      <c r="G8" s="178" t="s">
        <v>82</v>
      </c>
      <c r="H8" s="144">
        <v>10000</v>
      </c>
      <c r="I8" s="145" t="s">
        <v>61</v>
      </c>
      <c r="J8" s="147" t="s">
        <v>511</v>
      </c>
      <c r="K8" s="149" t="s">
        <v>512</v>
      </c>
      <c r="L8" s="35"/>
    </row>
    <row r="9" spans="1:104">
      <c r="A9" s="136">
        <v>15</v>
      </c>
      <c r="B9" s="137"/>
      <c r="C9" s="184" t="s">
        <v>118</v>
      </c>
      <c r="D9" s="138" t="s">
        <v>119</v>
      </c>
      <c r="E9" s="138" t="s">
        <v>134</v>
      </c>
      <c r="F9" s="197"/>
      <c r="G9" s="179" t="s">
        <v>82</v>
      </c>
      <c r="H9" s="139">
        <v>20000</v>
      </c>
      <c r="I9" s="140" t="s">
        <v>385</v>
      </c>
      <c r="J9" s="138"/>
      <c r="K9" s="140"/>
      <c r="L9" s="35"/>
    </row>
    <row r="10" spans="1:104" s="88" customFormat="1" ht="15.75" customHeight="1">
      <c r="A10" s="141">
        <v>16</v>
      </c>
      <c r="B10" s="142"/>
      <c r="C10" s="143" t="s">
        <v>121</v>
      </c>
      <c r="D10" s="143" t="s">
        <v>119</v>
      </c>
      <c r="E10" s="143" t="s">
        <v>134</v>
      </c>
      <c r="F10" s="198"/>
      <c r="G10" s="177" t="s">
        <v>82</v>
      </c>
      <c r="H10" s="144"/>
      <c r="I10" s="145"/>
      <c r="J10" s="143"/>
      <c r="K10" s="145"/>
      <c r="L10" s="140"/>
    </row>
    <row r="11" spans="1:104">
      <c r="A11" s="141">
        <v>21</v>
      </c>
      <c r="B11" s="142"/>
      <c r="C11" s="143" t="s">
        <v>132</v>
      </c>
      <c r="D11" s="143" t="s">
        <v>133</v>
      </c>
      <c r="E11" s="143" t="s">
        <v>134</v>
      </c>
      <c r="F11" s="198"/>
      <c r="G11" s="177" t="s">
        <v>82</v>
      </c>
      <c r="H11" s="144">
        <v>10000</v>
      </c>
      <c r="I11" s="145" t="s">
        <v>61</v>
      </c>
      <c r="J11" s="143" t="s">
        <v>135</v>
      </c>
      <c r="K11" s="145">
        <v>4521005914</v>
      </c>
      <c r="L11" s="101"/>
    </row>
    <row r="12" spans="1:104" s="88" customFormat="1" ht="15.75" customHeight="1">
      <c r="A12" s="141">
        <v>22</v>
      </c>
      <c r="B12" s="142"/>
      <c r="C12" s="182" t="s">
        <v>136</v>
      </c>
      <c r="D12" s="143" t="s">
        <v>137</v>
      </c>
      <c r="E12" s="143" t="s">
        <v>134</v>
      </c>
      <c r="F12" s="190"/>
      <c r="G12" s="139" t="s">
        <v>94</v>
      </c>
      <c r="H12" s="144">
        <v>10000</v>
      </c>
      <c r="I12" s="145" t="s">
        <v>61</v>
      </c>
      <c r="J12" s="143" t="s">
        <v>138</v>
      </c>
      <c r="K12" s="145"/>
      <c r="L12" s="145"/>
    </row>
    <row r="13" spans="1:104" s="167" customFormat="1">
      <c r="A13" s="136">
        <v>24</v>
      </c>
      <c r="B13" s="136"/>
      <c r="C13" s="152" t="s">
        <v>142</v>
      </c>
      <c r="D13" s="136" t="s">
        <v>143</v>
      </c>
      <c r="E13" s="136" t="s">
        <v>134</v>
      </c>
      <c r="F13" s="146"/>
      <c r="G13" s="177" t="s">
        <v>82</v>
      </c>
      <c r="H13" s="136">
        <v>10000</v>
      </c>
      <c r="I13" s="136" t="s">
        <v>61</v>
      </c>
      <c r="J13" s="136" t="s">
        <v>144</v>
      </c>
      <c r="K13" s="136">
        <v>4607715506</v>
      </c>
      <c r="L13" s="169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</row>
    <row r="14" spans="1:104">
      <c r="A14" s="136">
        <v>25</v>
      </c>
      <c r="B14" s="136"/>
      <c r="C14" s="152" t="s">
        <v>145</v>
      </c>
      <c r="D14" s="136" t="s">
        <v>146</v>
      </c>
      <c r="E14" s="136" t="s">
        <v>134</v>
      </c>
      <c r="F14" s="146"/>
      <c r="G14" s="177" t="s">
        <v>82</v>
      </c>
      <c r="H14" s="136">
        <v>10000</v>
      </c>
      <c r="I14" s="136" t="s">
        <v>61</v>
      </c>
      <c r="J14" s="136" t="s">
        <v>147</v>
      </c>
      <c r="K14" s="136">
        <v>4521551540</v>
      </c>
      <c r="L14" s="136"/>
    </row>
    <row r="15" spans="1:104" s="167" customFormat="1">
      <c r="A15" s="136">
        <v>31</v>
      </c>
      <c r="B15" s="139"/>
      <c r="C15" s="138" t="s">
        <v>167</v>
      </c>
      <c r="D15" s="153" t="s">
        <v>168</v>
      </c>
      <c r="E15" s="138" t="s">
        <v>134</v>
      </c>
      <c r="F15" s="190"/>
      <c r="G15" s="177" t="s">
        <v>82</v>
      </c>
      <c r="H15" s="139">
        <v>9000</v>
      </c>
      <c r="I15" s="140" t="s">
        <v>384</v>
      </c>
      <c r="J15" s="138" t="s">
        <v>169</v>
      </c>
      <c r="K15" s="140">
        <v>4508594233</v>
      </c>
      <c r="L15" s="169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</row>
    <row r="16" spans="1:104">
      <c r="A16" s="136">
        <v>32</v>
      </c>
      <c r="B16" s="139"/>
      <c r="C16" s="138" t="s">
        <v>170</v>
      </c>
      <c r="D16" s="153" t="s">
        <v>171</v>
      </c>
      <c r="E16" s="138" t="s">
        <v>134</v>
      </c>
      <c r="F16" s="190"/>
      <c r="G16" s="177" t="s">
        <v>82</v>
      </c>
      <c r="H16" s="139">
        <v>9000</v>
      </c>
      <c r="I16" s="140" t="s">
        <v>384</v>
      </c>
      <c r="J16" s="138" t="s">
        <v>172</v>
      </c>
      <c r="K16" s="140">
        <v>4507</v>
      </c>
      <c r="L16" s="99">
        <v>38981</v>
      </c>
    </row>
    <row r="17" spans="1:104">
      <c r="A17" s="238">
        <v>33</v>
      </c>
      <c r="B17" s="239"/>
      <c r="C17" s="242" t="s">
        <v>173</v>
      </c>
      <c r="D17" s="241" t="s">
        <v>174</v>
      </c>
      <c r="E17" s="242" t="s">
        <v>134</v>
      </c>
      <c r="F17" s="258"/>
      <c r="G17" s="265" t="s">
        <v>82</v>
      </c>
      <c r="H17" s="239">
        <v>19000</v>
      </c>
      <c r="I17" s="244" t="s">
        <v>386</v>
      </c>
      <c r="J17" s="242" t="s">
        <v>175</v>
      </c>
      <c r="K17" s="244">
        <v>402799391</v>
      </c>
      <c r="L17" s="99">
        <v>38176</v>
      </c>
    </row>
    <row r="18" spans="1:104">
      <c r="A18" s="238">
        <v>34</v>
      </c>
      <c r="B18" s="239"/>
      <c r="C18" s="242" t="s">
        <v>176</v>
      </c>
      <c r="D18" s="241" t="s">
        <v>177</v>
      </c>
      <c r="E18" s="242" t="s">
        <v>134</v>
      </c>
      <c r="F18" s="258"/>
      <c r="G18" s="265" t="s">
        <v>82</v>
      </c>
      <c r="H18" s="239"/>
      <c r="I18" s="244"/>
      <c r="J18" s="242" t="s">
        <v>178</v>
      </c>
      <c r="K18" s="244"/>
      <c r="L18" s="99"/>
    </row>
    <row r="19" spans="1:104">
      <c r="A19" s="229">
        <v>36</v>
      </c>
      <c r="B19" s="230"/>
      <c r="C19" s="231" t="s">
        <v>182</v>
      </c>
      <c r="D19" s="153" t="s">
        <v>183</v>
      </c>
      <c r="E19" s="138" t="s">
        <v>134</v>
      </c>
      <c r="F19" s="197" t="s">
        <v>536</v>
      </c>
      <c r="G19" s="139" t="s">
        <v>94</v>
      </c>
      <c r="H19" s="139">
        <v>9000</v>
      </c>
      <c r="I19" s="140" t="s">
        <v>384</v>
      </c>
      <c r="J19" s="138" t="s">
        <v>184</v>
      </c>
      <c r="K19" s="140" t="s">
        <v>185</v>
      </c>
      <c r="L19" s="101"/>
    </row>
    <row r="20" spans="1:104">
      <c r="A20" s="238">
        <v>37</v>
      </c>
      <c r="B20" s="239"/>
      <c r="C20" s="240" t="s">
        <v>186</v>
      </c>
      <c r="D20" s="241" t="s">
        <v>187</v>
      </c>
      <c r="E20" s="242" t="s">
        <v>134</v>
      </c>
      <c r="F20" s="243"/>
      <c r="G20" s="239" t="s">
        <v>94</v>
      </c>
      <c r="H20" s="239">
        <v>9000</v>
      </c>
      <c r="I20" s="244" t="s">
        <v>384</v>
      </c>
      <c r="J20" s="242" t="s">
        <v>188</v>
      </c>
      <c r="K20" s="244">
        <v>4606118688</v>
      </c>
      <c r="L20" s="99">
        <v>44525</v>
      </c>
    </row>
    <row r="21" spans="1:104" s="167" customFormat="1">
      <c r="A21" s="136">
        <v>40</v>
      </c>
      <c r="B21" s="139"/>
      <c r="C21" s="138" t="s">
        <v>492</v>
      </c>
      <c r="D21" s="153"/>
      <c r="E21" s="138" t="s">
        <v>134</v>
      </c>
      <c r="F21" s="190"/>
      <c r="G21" s="178" t="s">
        <v>82</v>
      </c>
      <c r="H21" s="139">
        <v>60000</v>
      </c>
      <c r="I21" s="140" t="s">
        <v>387</v>
      </c>
      <c r="J21" s="138" t="s">
        <v>493</v>
      </c>
      <c r="K21" s="140">
        <v>4607526085</v>
      </c>
      <c r="L21" s="169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</row>
    <row r="22" spans="1:104">
      <c r="A22" s="136">
        <v>41</v>
      </c>
      <c r="B22" s="139"/>
      <c r="C22" s="138" t="s">
        <v>368</v>
      </c>
      <c r="D22" s="153"/>
      <c r="E22" s="138" t="s">
        <v>134</v>
      </c>
      <c r="F22" s="190"/>
      <c r="G22" s="178" t="s">
        <v>82</v>
      </c>
      <c r="H22" s="139"/>
      <c r="I22" s="140"/>
      <c r="J22" s="138"/>
      <c r="K22" s="140"/>
      <c r="L22" s="99"/>
    </row>
    <row r="23" spans="1:104">
      <c r="A23" s="136">
        <v>42</v>
      </c>
      <c r="B23" s="139"/>
      <c r="C23" s="138" t="s">
        <v>369</v>
      </c>
      <c r="D23" s="153"/>
      <c r="E23" s="138" t="s">
        <v>134</v>
      </c>
      <c r="F23" s="190"/>
      <c r="G23" s="178" t="s">
        <v>82</v>
      </c>
      <c r="H23" s="139"/>
      <c r="I23" s="140"/>
      <c r="J23" s="138"/>
      <c r="K23" s="140"/>
      <c r="L23" s="99"/>
    </row>
    <row r="24" spans="1:104">
      <c r="A24" s="136">
        <v>43</v>
      </c>
      <c r="B24" s="139"/>
      <c r="C24" s="138" t="s">
        <v>191</v>
      </c>
      <c r="D24" s="153"/>
      <c r="E24" s="138" t="s">
        <v>134</v>
      </c>
      <c r="F24" s="190"/>
      <c r="G24" s="178" t="s">
        <v>82</v>
      </c>
      <c r="H24" s="139"/>
      <c r="I24" s="140"/>
      <c r="J24" s="138"/>
      <c r="K24" s="140"/>
      <c r="L24" s="99"/>
    </row>
    <row r="25" spans="1:104">
      <c r="A25" s="136">
        <v>44</v>
      </c>
      <c r="B25" s="139"/>
      <c r="C25" s="138" t="s">
        <v>366</v>
      </c>
      <c r="D25" s="153"/>
      <c r="E25" s="138" t="s">
        <v>134</v>
      </c>
      <c r="F25" s="190"/>
      <c r="G25" s="178" t="s">
        <v>82</v>
      </c>
      <c r="H25" s="139"/>
      <c r="I25" s="140"/>
      <c r="J25" s="138"/>
      <c r="K25" s="140"/>
      <c r="L25" s="99"/>
    </row>
    <row r="26" spans="1:104">
      <c r="A26" s="136">
        <v>45</v>
      </c>
      <c r="B26" s="139"/>
      <c r="C26" s="138" t="s">
        <v>367</v>
      </c>
      <c r="D26" s="153"/>
      <c r="E26" s="138" t="s">
        <v>134</v>
      </c>
      <c r="F26" s="190"/>
      <c r="G26" s="178" t="s">
        <v>82</v>
      </c>
      <c r="H26" s="139"/>
      <c r="I26" s="140"/>
      <c r="J26" s="138"/>
      <c r="K26" s="140"/>
      <c r="L26" s="99"/>
    </row>
    <row r="27" spans="1:104">
      <c r="A27" s="136">
        <v>46</v>
      </c>
      <c r="B27" s="139"/>
      <c r="C27" s="184" t="s">
        <v>192</v>
      </c>
      <c r="D27" s="153" t="s">
        <v>193</v>
      </c>
      <c r="E27" s="138" t="s">
        <v>134</v>
      </c>
      <c r="F27" s="197"/>
      <c r="G27" s="139" t="s">
        <v>94</v>
      </c>
      <c r="H27" s="139">
        <v>10000</v>
      </c>
      <c r="I27" s="140" t="s">
        <v>61</v>
      </c>
      <c r="J27" s="138" t="s">
        <v>194</v>
      </c>
      <c r="K27" s="140"/>
      <c r="L27" s="99"/>
    </row>
    <row r="28" spans="1:104">
      <c r="A28" s="141">
        <v>50</v>
      </c>
      <c r="B28" s="144"/>
      <c r="C28" s="143" t="s">
        <v>328</v>
      </c>
      <c r="D28" s="189">
        <v>89777203619</v>
      </c>
      <c r="E28" s="143" t="s">
        <v>134</v>
      </c>
      <c r="F28" s="198"/>
      <c r="G28" s="177" t="s">
        <v>82</v>
      </c>
      <c r="H28" s="144">
        <v>10000</v>
      </c>
      <c r="I28" s="145" t="s">
        <v>61</v>
      </c>
      <c r="J28" s="143" t="s">
        <v>329</v>
      </c>
      <c r="K28" s="145">
        <v>4615960982</v>
      </c>
      <c r="L28" s="94"/>
    </row>
    <row r="29" spans="1:104">
      <c r="A29" s="146">
        <v>52</v>
      </c>
      <c r="B29" s="148" t="s">
        <v>334</v>
      </c>
      <c r="C29" s="147" t="s">
        <v>335</v>
      </c>
      <c r="D29" s="192">
        <v>79100841765</v>
      </c>
      <c r="E29" s="138" t="s">
        <v>134</v>
      </c>
      <c r="F29" s="190"/>
      <c r="G29" s="178" t="s">
        <v>82</v>
      </c>
      <c r="H29" s="148">
        <v>10000</v>
      </c>
      <c r="I29" s="149" t="s">
        <v>61</v>
      </c>
      <c r="J29" s="147" t="s">
        <v>336</v>
      </c>
      <c r="K29" s="149"/>
      <c r="L29" s="159"/>
    </row>
    <row r="30" spans="1:104" s="167" customFormat="1">
      <c r="A30" s="136">
        <v>53</v>
      </c>
      <c r="B30" s="139" t="s">
        <v>337</v>
      </c>
      <c r="C30" s="138" t="s">
        <v>338</v>
      </c>
      <c r="D30" s="153">
        <v>79859040213</v>
      </c>
      <c r="E30" s="138" t="s">
        <v>134</v>
      </c>
      <c r="F30" s="197" t="s">
        <v>536</v>
      </c>
      <c r="G30" s="179" t="s">
        <v>82</v>
      </c>
      <c r="H30" s="139">
        <v>10000</v>
      </c>
      <c r="I30" s="140" t="s">
        <v>61</v>
      </c>
      <c r="J30" s="138" t="s">
        <v>339</v>
      </c>
      <c r="K30" s="140">
        <v>704334673</v>
      </c>
      <c r="L30" s="95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</row>
    <row r="31" spans="1:104">
      <c r="A31" s="136">
        <v>54</v>
      </c>
      <c r="B31" s="139" t="s">
        <v>340</v>
      </c>
      <c r="C31" s="184" t="s">
        <v>341</v>
      </c>
      <c r="D31" s="153" t="s">
        <v>346</v>
      </c>
      <c r="E31" s="138" t="s">
        <v>134</v>
      </c>
      <c r="F31" s="197"/>
      <c r="G31" s="139" t="s">
        <v>94</v>
      </c>
      <c r="H31" s="139">
        <v>20000</v>
      </c>
      <c r="I31" s="140" t="s">
        <v>385</v>
      </c>
      <c r="J31" s="138" t="s">
        <v>342</v>
      </c>
      <c r="K31" s="140" t="s">
        <v>343</v>
      </c>
      <c r="L31" s="99"/>
    </row>
    <row r="32" spans="1:104">
      <c r="A32" s="136">
        <v>55</v>
      </c>
      <c r="B32" s="139" t="s">
        <v>344</v>
      </c>
      <c r="C32" s="184" t="s">
        <v>345</v>
      </c>
      <c r="D32" s="138" t="s">
        <v>346</v>
      </c>
      <c r="E32" s="138" t="s">
        <v>134</v>
      </c>
      <c r="F32" s="197"/>
      <c r="G32" s="139" t="s">
        <v>94</v>
      </c>
      <c r="H32" s="139"/>
      <c r="I32" s="140"/>
      <c r="J32" s="138" t="s">
        <v>347</v>
      </c>
      <c r="K32" s="140"/>
      <c r="L32" s="99"/>
    </row>
    <row r="33" spans="1:104" s="167" customFormat="1">
      <c r="A33" s="141">
        <v>58</v>
      </c>
      <c r="B33" s="144" t="s">
        <v>359</v>
      </c>
      <c r="C33" s="182" t="s">
        <v>360</v>
      </c>
      <c r="D33" s="143">
        <v>79032815313</v>
      </c>
      <c r="E33" s="143" t="s">
        <v>134</v>
      </c>
      <c r="F33" s="198"/>
      <c r="G33" s="144" t="s">
        <v>94</v>
      </c>
      <c r="H33" s="144">
        <v>10000</v>
      </c>
      <c r="I33" s="145" t="s">
        <v>61</v>
      </c>
      <c r="J33" s="143" t="s">
        <v>361</v>
      </c>
      <c r="K33" s="145" t="s">
        <v>362</v>
      </c>
      <c r="L33" s="94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</row>
    <row r="34" spans="1:104">
      <c r="A34" s="141">
        <v>62</v>
      </c>
      <c r="B34" s="144" t="s">
        <v>374</v>
      </c>
      <c r="C34" s="143" t="s">
        <v>375</v>
      </c>
      <c r="D34" s="143">
        <v>79267772233</v>
      </c>
      <c r="E34" s="143" t="s">
        <v>134</v>
      </c>
      <c r="F34" s="198"/>
      <c r="G34" s="177" t="s">
        <v>82</v>
      </c>
      <c r="H34" s="144">
        <v>20000</v>
      </c>
      <c r="I34" s="145" t="s">
        <v>385</v>
      </c>
      <c r="J34" s="143" t="s">
        <v>376</v>
      </c>
      <c r="K34" s="145" t="s">
        <v>377</v>
      </c>
      <c r="L34" s="98"/>
    </row>
    <row r="35" spans="1:104">
      <c r="A35" s="141">
        <v>63</v>
      </c>
      <c r="B35" s="144"/>
      <c r="C35" s="182" t="s">
        <v>382</v>
      </c>
      <c r="D35" s="143">
        <v>79267772233</v>
      </c>
      <c r="E35" s="143" t="s">
        <v>134</v>
      </c>
      <c r="F35" s="198"/>
      <c r="G35" s="177" t="s">
        <v>82</v>
      </c>
      <c r="H35" s="144"/>
      <c r="I35" s="145"/>
      <c r="J35" s="143" t="s">
        <v>378</v>
      </c>
      <c r="K35" s="145" t="s">
        <v>377</v>
      </c>
      <c r="L35" s="95"/>
    </row>
    <row r="36" spans="1:104" s="167" customFormat="1">
      <c r="A36" s="256">
        <v>68</v>
      </c>
      <c r="B36" s="257"/>
      <c r="C36" s="259" t="s">
        <v>412</v>
      </c>
      <c r="D36" s="258" t="s">
        <v>413</v>
      </c>
      <c r="E36" s="259" t="s">
        <v>134</v>
      </c>
      <c r="F36" s="258"/>
      <c r="G36" s="257" t="s">
        <v>94</v>
      </c>
      <c r="H36" s="257">
        <v>10000</v>
      </c>
      <c r="I36" s="257" t="s">
        <v>61</v>
      </c>
      <c r="J36" s="258" t="s">
        <v>414</v>
      </c>
      <c r="K36" s="257">
        <v>4525033204</v>
      </c>
      <c r="L36" s="169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</row>
    <row r="37" spans="1:104">
      <c r="A37" s="136">
        <v>69</v>
      </c>
      <c r="B37" s="136" t="s">
        <v>396</v>
      </c>
      <c r="C37" s="136" t="s">
        <v>397</v>
      </c>
      <c r="D37" s="136">
        <v>89167952011</v>
      </c>
      <c r="E37" s="152" t="s">
        <v>134</v>
      </c>
      <c r="F37" s="136"/>
      <c r="G37" s="180" t="s">
        <v>82</v>
      </c>
      <c r="H37" s="136">
        <v>10000</v>
      </c>
      <c r="I37" s="136" t="s">
        <v>61</v>
      </c>
      <c r="J37" s="136" t="s">
        <v>398</v>
      </c>
      <c r="K37" s="136" t="s">
        <v>411</v>
      </c>
      <c r="L37" s="148">
        <v>45792</v>
      </c>
    </row>
    <row r="38" spans="1:104" s="167" customFormat="1">
      <c r="A38" s="272">
        <v>70</v>
      </c>
      <c r="B38" s="272" t="s">
        <v>399</v>
      </c>
      <c r="C38" s="273" t="s">
        <v>400</v>
      </c>
      <c r="D38" s="191">
        <v>79197212118</v>
      </c>
      <c r="E38" s="191" t="s">
        <v>134</v>
      </c>
      <c r="F38" s="156"/>
      <c r="G38" s="180" t="s">
        <v>82</v>
      </c>
      <c r="H38" s="156">
        <v>10000</v>
      </c>
      <c r="I38" s="191" t="s">
        <v>61</v>
      </c>
      <c r="J38" s="191" t="s">
        <v>401</v>
      </c>
      <c r="K38" s="191" t="s">
        <v>402</v>
      </c>
      <c r="L38" s="136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</row>
    <row r="39" spans="1:104" s="167" customFormat="1">
      <c r="A39" s="256">
        <v>71</v>
      </c>
      <c r="B39" s="257" t="s">
        <v>403</v>
      </c>
      <c r="C39" s="258" t="s">
        <v>404</v>
      </c>
      <c r="D39" s="258">
        <v>89154154840</v>
      </c>
      <c r="E39" s="259" t="s">
        <v>134</v>
      </c>
      <c r="F39" s="258"/>
      <c r="G39" s="257" t="s">
        <v>82</v>
      </c>
      <c r="H39" s="257">
        <v>9000</v>
      </c>
      <c r="I39" s="257" t="s">
        <v>384</v>
      </c>
      <c r="J39" s="258" t="s">
        <v>405</v>
      </c>
      <c r="K39" s="257">
        <v>4617747981</v>
      </c>
      <c r="L39" s="191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</row>
    <row r="40" spans="1:104" s="167" customFormat="1">
      <c r="A40" s="146">
        <v>84</v>
      </c>
      <c r="B40" s="148" t="s">
        <v>445</v>
      </c>
      <c r="C40" s="147" t="s">
        <v>446</v>
      </c>
      <c r="D40" s="147">
        <v>79787890633</v>
      </c>
      <c r="E40" s="147" t="s">
        <v>134</v>
      </c>
      <c r="F40" s="190"/>
      <c r="G40" s="178" t="s">
        <v>82</v>
      </c>
      <c r="H40" s="148">
        <v>10000</v>
      </c>
      <c r="I40" s="149" t="s">
        <v>61</v>
      </c>
      <c r="J40" s="147" t="s">
        <v>447</v>
      </c>
      <c r="K40" s="149" t="s">
        <v>448</v>
      </c>
      <c r="L40" s="169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</row>
    <row r="41" spans="1:104" s="167" customFormat="1">
      <c r="A41" s="146">
        <v>87</v>
      </c>
      <c r="B41" s="148"/>
      <c r="C41" s="147" t="s">
        <v>455</v>
      </c>
      <c r="D41" s="147" t="s">
        <v>452</v>
      </c>
      <c r="E41" s="147" t="s">
        <v>134</v>
      </c>
      <c r="F41" s="190"/>
      <c r="G41" s="178" t="s">
        <v>82</v>
      </c>
      <c r="H41" s="148">
        <v>10000</v>
      </c>
      <c r="I41" s="149" t="s">
        <v>61</v>
      </c>
      <c r="J41" s="147" t="s">
        <v>456</v>
      </c>
      <c r="K41" s="149">
        <v>9209988241</v>
      </c>
      <c r="L41" s="169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</row>
    <row r="42" spans="1:104" s="167" customFormat="1">
      <c r="A42" s="141">
        <v>92</v>
      </c>
      <c r="B42" s="144">
        <v>92</v>
      </c>
      <c r="C42" s="143" t="s">
        <v>476</v>
      </c>
      <c r="D42" s="143">
        <v>79857637908</v>
      </c>
      <c r="E42" s="143" t="s">
        <v>134</v>
      </c>
      <c r="F42" s="190"/>
      <c r="G42" s="178" t="s">
        <v>82</v>
      </c>
      <c r="H42" s="144">
        <v>10000</v>
      </c>
      <c r="I42" s="145" t="s">
        <v>61</v>
      </c>
      <c r="J42" s="143" t="s">
        <v>477</v>
      </c>
      <c r="K42" s="145">
        <v>4524483480</v>
      </c>
      <c r="L42" s="101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</row>
    <row r="43" spans="1:104">
      <c r="A43" s="141">
        <v>95</v>
      </c>
      <c r="B43" s="144"/>
      <c r="C43" s="182" t="s">
        <v>496</v>
      </c>
      <c r="D43" s="143" t="s">
        <v>497</v>
      </c>
      <c r="E43" s="143" t="s">
        <v>134</v>
      </c>
      <c r="F43" s="198"/>
      <c r="G43" s="144" t="s">
        <v>94</v>
      </c>
      <c r="H43" s="144">
        <v>10000</v>
      </c>
      <c r="I43" s="145" t="s">
        <v>61</v>
      </c>
      <c r="J43" s="143" t="s">
        <v>498</v>
      </c>
      <c r="K43" s="145">
        <v>4506332588</v>
      </c>
      <c r="L43" s="101"/>
    </row>
    <row r="44" spans="1:104">
      <c r="A44" s="141">
        <v>97</v>
      </c>
      <c r="B44" s="144" t="s">
        <v>513</v>
      </c>
      <c r="C44" s="143" t="s">
        <v>514</v>
      </c>
      <c r="D44" s="143">
        <v>89151463304</v>
      </c>
      <c r="E44" s="143" t="s">
        <v>134</v>
      </c>
      <c r="F44" s="198"/>
      <c r="G44" s="177" t="s">
        <v>82</v>
      </c>
      <c r="H44" s="144">
        <v>10000</v>
      </c>
      <c r="I44" s="145" t="s">
        <v>61</v>
      </c>
      <c r="J44" s="143" t="s">
        <v>515</v>
      </c>
      <c r="K44" s="145" t="s">
        <v>516</v>
      </c>
      <c r="L44" s="101"/>
    </row>
    <row r="45" spans="1:104">
      <c r="A45" s="141">
        <v>98</v>
      </c>
      <c r="B45" s="144" t="s">
        <v>517</v>
      </c>
      <c r="C45" s="143" t="s">
        <v>518</v>
      </c>
      <c r="D45" s="143">
        <v>89057046716</v>
      </c>
      <c r="E45" s="143" t="s">
        <v>134</v>
      </c>
      <c r="F45" s="198"/>
      <c r="G45" s="177" t="s">
        <v>82</v>
      </c>
      <c r="H45" s="144">
        <v>10000</v>
      </c>
      <c r="I45" s="145" t="s">
        <v>61</v>
      </c>
      <c r="J45" s="143" t="s">
        <v>519</v>
      </c>
      <c r="K45" s="145" t="s">
        <v>520</v>
      </c>
      <c r="L45" s="98"/>
    </row>
    <row r="46" spans="1:104">
      <c r="A46" s="141">
        <v>101</v>
      </c>
      <c r="B46" s="144" t="s">
        <v>526</v>
      </c>
      <c r="C46" s="143" t="s">
        <v>527</v>
      </c>
      <c r="D46" s="143">
        <v>89265386395</v>
      </c>
      <c r="E46" s="143" t="s">
        <v>134</v>
      </c>
      <c r="F46" s="198"/>
      <c r="G46" s="177" t="s">
        <v>82</v>
      </c>
      <c r="H46" s="144"/>
      <c r="I46" s="145"/>
      <c r="J46" s="143" t="s">
        <v>528</v>
      </c>
      <c r="K46" s="145" t="s">
        <v>528</v>
      </c>
      <c r="L46" s="98"/>
    </row>
    <row r="47" spans="1:104">
      <c r="A47" s="141">
        <v>102</v>
      </c>
      <c r="B47" s="144"/>
      <c r="C47" s="143" t="s">
        <v>529</v>
      </c>
      <c r="D47" s="143">
        <v>89265254001</v>
      </c>
      <c r="E47" s="143" t="s">
        <v>134</v>
      </c>
      <c r="F47" s="198"/>
      <c r="G47" s="177" t="s">
        <v>82</v>
      </c>
      <c r="H47" s="144">
        <v>20000</v>
      </c>
      <c r="I47" s="145" t="s">
        <v>385</v>
      </c>
      <c r="J47" s="143" t="s">
        <v>530</v>
      </c>
      <c r="K47" s="145">
        <v>4523520982</v>
      </c>
      <c r="L47" s="101"/>
    </row>
    <row r="48" spans="1:104">
      <c r="A48" s="141">
        <v>104</v>
      </c>
      <c r="B48" s="144"/>
      <c r="C48" s="182" t="s">
        <v>532</v>
      </c>
      <c r="D48" s="143" t="s">
        <v>533</v>
      </c>
      <c r="E48" s="143" t="s">
        <v>134</v>
      </c>
      <c r="F48" s="198"/>
      <c r="G48" s="144" t="s">
        <v>94</v>
      </c>
      <c r="H48" s="144">
        <v>10000</v>
      </c>
      <c r="I48" s="145" t="s">
        <v>61</v>
      </c>
      <c r="J48" s="143" t="s">
        <v>534</v>
      </c>
      <c r="K48" s="145">
        <v>89057865858</v>
      </c>
      <c r="L48" s="98"/>
    </row>
    <row r="49" spans="1:11">
      <c r="A49" s="170"/>
      <c r="B49" s="171"/>
      <c r="C49" s="172"/>
      <c r="D49" s="172"/>
      <c r="E49" s="172"/>
      <c r="F49" s="171"/>
      <c r="G49" s="171"/>
      <c r="H49" s="173"/>
      <c r="I49" s="172"/>
      <c r="J49" s="173"/>
      <c r="K49" s="35"/>
    </row>
    <row r="50" spans="1:11">
      <c r="A50" s="97"/>
      <c r="B50" s="93"/>
      <c r="C50" s="135"/>
      <c r="D50" s="175"/>
      <c r="E50" s="135"/>
      <c r="F50" s="93"/>
      <c r="G50" s="148"/>
      <c r="H50" s="149"/>
      <c r="I50" s="135"/>
      <c r="J50" s="174"/>
      <c r="K50" s="35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1">
    <tabColor theme="8" tint="0.79998168889431442"/>
  </sheetPr>
  <dimension ref="A1"/>
  <sheetViews>
    <sheetView workbookViewId="0">
      <selection activeCell="K28" sqref="K28"/>
    </sheetView>
  </sheetViews>
  <sheetFormatPr defaultColWidth="8.8554687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1">
    <tabColor theme="9" tint="0.39997558519241921"/>
  </sheetPr>
  <dimension ref="A1:O762"/>
  <sheetViews>
    <sheetView zoomScale="117" workbookViewId="0">
      <pane ySplit="1" topLeftCell="A2" activePane="bottomLeft" state="frozen"/>
      <selection activeCell="D25" sqref="D25"/>
      <selection pane="bottomLeft" activeCell="H25" sqref="H25"/>
    </sheetView>
  </sheetViews>
  <sheetFormatPr defaultColWidth="9.140625" defaultRowHeight="15"/>
  <cols>
    <col min="1" max="1" width="4.28515625" style="67" customWidth="1"/>
    <col min="2" max="2" width="13.42578125" style="68" customWidth="1"/>
    <col min="3" max="3" width="30.7109375" style="69" customWidth="1"/>
    <col min="4" max="4" width="13" style="70" customWidth="1"/>
    <col min="5" max="6" width="9.140625" style="91" customWidth="1"/>
    <col min="7" max="7" width="4.85546875" style="67" customWidth="1"/>
    <col min="8" max="8" width="9.140625" style="74" customWidth="1"/>
    <col min="9" max="9" width="22.85546875" style="75" customWidth="1"/>
    <col min="10" max="10" width="34.42578125" style="71" customWidth="1"/>
    <col min="11" max="11" width="7.7109375" style="72" customWidth="1"/>
    <col min="12" max="13" width="7.7109375" style="73" customWidth="1"/>
    <col min="14" max="14" width="7.28515625" style="67" customWidth="1"/>
    <col min="15" max="15" width="15.42578125" style="68" customWidth="1"/>
    <col min="16" max="22" width="9.140625" style="36" customWidth="1"/>
    <col min="23" max="16384" width="9.140625" style="36"/>
  </cols>
  <sheetData>
    <row r="1" spans="1:15" s="44" customFormat="1" ht="23.45" customHeight="1" thickBot="1">
      <c r="A1" s="37" t="s">
        <v>4</v>
      </c>
      <c r="B1" s="38" t="s">
        <v>200</v>
      </c>
      <c r="C1" s="38" t="s">
        <v>7</v>
      </c>
      <c r="D1" s="39" t="s">
        <v>9</v>
      </c>
      <c r="E1" s="89" t="s">
        <v>201</v>
      </c>
      <c r="F1" s="92" t="s">
        <v>202</v>
      </c>
      <c r="G1" s="37" t="s">
        <v>203</v>
      </c>
      <c r="H1" s="42">
        <f>SUM(H2:H100)</f>
        <v>150500</v>
      </c>
      <c r="I1" s="43" t="s">
        <v>204</v>
      </c>
      <c r="J1" s="41" t="s">
        <v>205</v>
      </c>
      <c r="K1" s="38" t="s">
        <v>206</v>
      </c>
      <c r="L1" s="41" t="s">
        <v>207</v>
      </c>
      <c r="M1" s="41"/>
      <c r="N1" s="38" t="s">
        <v>208</v>
      </c>
      <c r="O1" s="40" t="s">
        <v>209</v>
      </c>
    </row>
    <row r="2" spans="1:15" ht="15.75" customHeight="1" thickTop="1">
      <c r="A2" s="45">
        <v>1</v>
      </c>
      <c r="B2" s="46">
        <v>45655.698680555557</v>
      </c>
      <c r="C2" s="47" t="s">
        <v>79</v>
      </c>
      <c r="D2" s="48" t="s">
        <v>80</v>
      </c>
      <c r="E2" s="65" t="s">
        <v>81</v>
      </c>
      <c r="F2" s="65"/>
      <c r="G2" s="45" t="s">
        <v>82</v>
      </c>
      <c r="H2" s="53">
        <v>8500</v>
      </c>
      <c r="I2" s="54" t="s">
        <v>83</v>
      </c>
      <c r="J2" s="50" t="s">
        <v>84</v>
      </c>
      <c r="K2" s="51"/>
      <c r="L2" s="52"/>
      <c r="M2" s="52"/>
      <c r="N2" s="45">
        <v>1</v>
      </c>
      <c r="O2" s="49" t="s">
        <v>210</v>
      </c>
    </row>
    <row r="3" spans="1:15">
      <c r="A3" s="55">
        <v>2</v>
      </c>
      <c r="B3" s="56">
        <v>45862.934155092589</v>
      </c>
      <c r="C3" s="57" t="s">
        <v>85</v>
      </c>
      <c r="D3" s="58" t="s">
        <v>86</v>
      </c>
      <c r="E3" s="90" t="s">
        <v>87</v>
      </c>
      <c r="F3" s="90"/>
      <c r="G3" s="55" t="s">
        <v>82</v>
      </c>
      <c r="H3" s="63">
        <v>9000</v>
      </c>
      <c r="I3" s="64" t="s">
        <v>88</v>
      </c>
      <c r="J3" s="60" t="s">
        <v>89</v>
      </c>
      <c r="K3" s="61"/>
      <c r="L3" s="62"/>
      <c r="M3" s="62"/>
      <c r="N3" s="55">
        <v>3</v>
      </c>
      <c r="O3" s="59" t="s">
        <v>211</v>
      </c>
    </row>
    <row r="4" spans="1:15">
      <c r="A4" s="55">
        <v>3</v>
      </c>
      <c r="B4" s="56">
        <v>45862.936226851853</v>
      </c>
      <c r="C4" s="57" t="s">
        <v>90</v>
      </c>
      <c r="D4" s="58" t="s">
        <v>86</v>
      </c>
      <c r="E4" s="90" t="s">
        <v>87</v>
      </c>
      <c r="F4" s="90"/>
      <c r="G4" s="55" t="s">
        <v>82</v>
      </c>
      <c r="H4" s="63">
        <v>9000</v>
      </c>
      <c r="I4" s="64" t="s">
        <v>88</v>
      </c>
      <c r="J4" s="60" t="s">
        <v>89</v>
      </c>
      <c r="K4" s="61"/>
      <c r="L4" s="62"/>
      <c r="M4" s="62"/>
      <c r="N4" s="55">
        <v>3</v>
      </c>
      <c r="O4" s="59" t="s">
        <v>211</v>
      </c>
    </row>
    <row r="5" spans="1:15">
      <c r="A5" s="45">
        <v>4</v>
      </c>
      <c r="B5" s="65"/>
      <c r="C5" s="47" t="s">
        <v>91</v>
      </c>
      <c r="D5" s="66" t="s">
        <v>92</v>
      </c>
      <c r="E5" s="65" t="s">
        <v>93</v>
      </c>
      <c r="F5" s="65"/>
      <c r="G5" s="45" t="s">
        <v>94</v>
      </c>
      <c r="H5" s="53">
        <v>10000</v>
      </c>
      <c r="I5" s="54" t="s">
        <v>95</v>
      </c>
      <c r="J5" s="50"/>
      <c r="K5" s="51"/>
      <c r="L5" s="52"/>
      <c r="M5" s="52"/>
      <c r="N5" s="45">
        <v>1</v>
      </c>
      <c r="O5" s="65"/>
    </row>
    <row r="6" spans="1:15">
      <c r="A6" s="67">
        <v>5</v>
      </c>
      <c r="C6" s="69" t="s">
        <v>96</v>
      </c>
      <c r="D6" s="70" t="s">
        <v>97</v>
      </c>
      <c r="E6" s="68"/>
      <c r="F6" s="68"/>
      <c r="H6" s="74">
        <v>9000</v>
      </c>
      <c r="I6" s="75" t="s">
        <v>88</v>
      </c>
      <c r="J6" s="71" t="s">
        <v>98</v>
      </c>
      <c r="O6" s="68" t="s">
        <v>212</v>
      </c>
    </row>
    <row r="7" spans="1:15">
      <c r="A7" s="76">
        <v>6</v>
      </c>
      <c r="B7" s="77"/>
      <c r="C7" s="78" t="s">
        <v>99</v>
      </c>
      <c r="D7" s="79" t="s">
        <v>100</v>
      </c>
      <c r="E7" s="77"/>
      <c r="F7" s="77"/>
      <c r="G7" s="76" t="s">
        <v>82</v>
      </c>
      <c r="H7" s="83">
        <v>10000</v>
      </c>
      <c r="I7" s="84" t="s">
        <v>95</v>
      </c>
      <c r="J7" s="80"/>
      <c r="K7" s="81"/>
      <c r="L7" s="82"/>
      <c r="M7" s="82"/>
      <c r="N7" s="76">
        <v>2</v>
      </c>
      <c r="O7" s="77"/>
    </row>
    <row r="8" spans="1:15">
      <c r="A8" s="45">
        <v>7</v>
      </c>
      <c r="B8" s="65"/>
      <c r="C8" s="47" t="s">
        <v>101</v>
      </c>
      <c r="D8" s="85" t="s">
        <v>102</v>
      </c>
      <c r="E8" s="65" t="s">
        <v>103</v>
      </c>
      <c r="F8" s="65"/>
      <c r="G8" s="45"/>
      <c r="H8" s="53">
        <v>10000</v>
      </c>
      <c r="I8" s="54" t="s">
        <v>95</v>
      </c>
      <c r="J8" s="50"/>
      <c r="K8" s="51"/>
      <c r="L8" s="52"/>
      <c r="M8" s="52"/>
      <c r="N8" s="45">
        <v>1</v>
      </c>
      <c r="O8" s="65" t="s">
        <v>213</v>
      </c>
    </row>
    <row r="9" spans="1:15">
      <c r="A9" s="76">
        <v>8</v>
      </c>
      <c r="B9" s="77"/>
      <c r="C9" s="78" t="s">
        <v>104</v>
      </c>
      <c r="D9" s="79" t="s">
        <v>105</v>
      </c>
      <c r="E9" s="77" t="s">
        <v>103</v>
      </c>
      <c r="F9" s="77"/>
      <c r="G9" s="76" t="s">
        <v>82</v>
      </c>
      <c r="H9" s="83">
        <v>10000</v>
      </c>
      <c r="I9" s="84" t="s">
        <v>95</v>
      </c>
      <c r="J9" s="80"/>
      <c r="K9" s="81"/>
      <c r="L9" s="82"/>
      <c r="M9" s="82"/>
      <c r="N9" s="76">
        <v>2</v>
      </c>
      <c r="O9" s="77"/>
    </row>
    <row r="10" spans="1:15">
      <c r="A10" s="76">
        <v>9</v>
      </c>
      <c r="B10" s="77"/>
      <c r="C10" s="78" t="s">
        <v>106</v>
      </c>
      <c r="D10" s="86" t="s">
        <v>107</v>
      </c>
      <c r="E10" s="77"/>
      <c r="F10" s="77"/>
      <c r="G10" s="76"/>
      <c r="H10" s="83">
        <v>9000</v>
      </c>
      <c r="I10" s="84" t="s">
        <v>88</v>
      </c>
      <c r="J10" s="80"/>
      <c r="K10" s="81"/>
      <c r="L10" s="82"/>
      <c r="M10" s="82"/>
      <c r="N10" s="76">
        <v>2</v>
      </c>
      <c r="O10" s="77"/>
    </row>
    <row r="11" spans="1:15">
      <c r="A11" s="76">
        <v>10</v>
      </c>
      <c r="B11" s="77"/>
      <c r="C11" s="78" t="s">
        <v>108</v>
      </c>
      <c r="D11" s="86" t="s">
        <v>109</v>
      </c>
      <c r="E11" s="77"/>
      <c r="F11" s="77"/>
      <c r="G11" s="76"/>
      <c r="H11" s="83">
        <v>9000</v>
      </c>
      <c r="I11" s="84" t="s">
        <v>88</v>
      </c>
      <c r="J11" s="80"/>
      <c r="K11" s="81"/>
      <c r="L11" s="82"/>
      <c r="M11" s="82"/>
      <c r="N11" s="76">
        <v>2</v>
      </c>
      <c r="O11" s="77"/>
    </row>
    <row r="12" spans="1:15">
      <c r="A12" s="76">
        <v>11</v>
      </c>
      <c r="B12" s="77"/>
      <c r="C12" s="78" t="s">
        <v>110</v>
      </c>
      <c r="D12" s="79" t="s">
        <v>111</v>
      </c>
      <c r="E12" s="77" t="s">
        <v>103</v>
      </c>
      <c r="F12" s="77"/>
      <c r="G12" s="76" t="s">
        <v>94</v>
      </c>
      <c r="H12" s="83">
        <v>10000</v>
      </c>
      <c r="I12" s="84" t="s">
        <v>95</v>
      </c>
      <c r="J12" s="80"/>
      <c r="K12" s="81"/>
      <c r="L12" s="82"/>
      <c r="M12" s="82"/>
      <c r="N12" s="76">
        <v>2</v>
      </c>
      <c r="O12" s="77"/>
    </row>
    <row r="13" spans="1:15">
      <c r="A13" s="76">
        <v>12</v>
      </c>
      <c r="B13" s="77"/>
      <c r="C13" s="78" t="s">
        <v>112</v>
      </c>
      <c r="D13" s="86" t="s">
        <v>113</v>
      </c>
      <c r="E13" s="77"/>
      <c r="F13" s="77"/>
      <c r="G13" s="76"/>
      <c r="H13" s="83">
        <v>9000</v>
      </c>
      <c r="I13" s="84" t="s">
        <v>88</v>
      </c>
      <c r="J13" s="80"/>
      <c r="K13" s="81"/>
      <c r="L13" s="82"/>
      <c r="M13" s="82"/>
      <c r="N13" s="76">
        <v>2</v>
      </c>
      <c r="O13" s="77" t="s">
        <v>214</v>
      </c>
    </row>
    <row r="14" spans="1:15">
      <c r="A14" s="76">
        <v>13</v>
      </c>
      <c r="B14" s="77"/>
      <c r="C14" s="78" t="s">
        <v>114</v>
      </c>
      <c r="D14" s="86" t="s">
        <v>115</v>
      </c>
      <c r="E14" s="77"/>
      <c r="F14" s="77"/>
      <c r="G14" s="76"/>
      <c r="H14" s="83">
        <v>9000</v>
      </c>
      <c r="I14" s="84" t="s">
        <v>88</v>
      </c>
      <c r="J14" s="80"/>
      <c r="K14" s="81"/>
      <c r="L14" s="82"/>
      <c r="M14" s="82"/>
      <c r="N14" s="76">
        <v>2</v>
      </c>
      <c r="O14" s="77" t="s">
        <v>214</v>
      </c>
    </row>
    <row r="15" spans="1:15">
      <c r="A15" s="76">
        <v>14</v>
      </c>
      <c r="B15" s="77"/>
      <c r="C15" s="78" t="s">
        <v>116</v>
      </c>
      <c r="D15" s="86" t="s">
        <v>117</v>
      </c>
      <c r="E15" s="77"/>
      <c r="F15" s="77"/>
      <c r="G15" s="76"/>
      <c r="H15" s="83">
        <v>9000</v>
      </c>
      <c r="I15" s="84" t="s">
        <v>88</v>
      </c>
      <c r="J15" s="80"/>
      <c r="K15" s="81"/>
      <c r="L15" s="82"/>
      <c r="M15" s="82"/>
      <c r="N15" s="76">
        <v>2</v>
      </c>
      <c r="O15" s="77" t="s">
        <v>214</v>
      </c>
    </row>
    <row r="16" spans="1:15">
      <c r="A16" s="45">
        <v>15</v>
      </c>
      <c r="B16" s="65"/>
      <c r="C16" s="47" t="s">
        <v>118</v>
      </c>
      <c r="D16" s="66" t="s">
        <v>119</v>
      </c>
      <c r="E16" s="65" t="s">
        <v>120</v>
      </c>
      <c r="F16" s="65"/>
      <c r="G16" s="45" t="s">
        <v>94</v>
      </c>
      <c r="H16" s="53">
        <v>10000</v>
      </c>
      <c r="I16" s="54" t="s">
        <v>95</v>
      </c>
      <c r="J16" s="50"/>
      <c r="K16" s="51"/>
      <c r="L16" s="52"/>
      <c r="M16" s="52"/>
      <c r="N16" s="45">
        <v>1</v>
      </c>
      <c r="O16" s="65"/>
    </row>
    <row r="17" spans="1:15">
      <c r="A17" s="45">
        <v>16</v>
      </c>
      <c r="B17" s="65"/>
      <c r="C17" s="47" t="s">
        <v>121</v>
      </c>
      <c r="D17" s="66" t="s">
        <v>119</v>
      </c>
      <c r="E17" s="65" t="s">
        <v>120</v>
      </c>
      <c r="F17" s="65"/>
      <c r="G17" s="45" t="s">
        <v>82</v>
      </c>
      <c r="H17" s="53">
        <v>10000</v>
      </c>
      <c r="I17" s="54" t="s">
        <v>95</v>
      </c>
      <c r="J17" s="50"/>
      <c r="K17" s="51"/>
      <c r="L17" s="52"/>
      <c r="M17" s="52"/>
      <c r="N17" s="45">
        <v>1</v>
      </c>
      <c r="O17" s="65"/>
    </row>
    <row r="18" spans="1:15">
      <c r="E18" s="68"/>
      <c r="F18" s="68"/>
    </row>
    <row r="19" spans="1:15">
      <c r="E19" s="68"/>
      <c r="F19" s="68"/>
    </row>
    <row r="20" spans="1:15">
      <c r="E20" s="68"/>
      <c r="F20" s="68"/>
    </row>
    <row r="21" spans="1:15">
      <c r="E21" s="68"/>
      <c r="F21" s="68"/>
    </row>
    <row r="22" spans="1:15">
      <c r="E22" s="68"/>
      <c r="F22" s="68"/>
    </row>
    <row r="23" spans="1:15">
      <c r="E23" s="68"/>
      <c r="F23" s="68"/>
    </row>
    <row r="24" spans="1:15">
      <c r="E24" s="68"/>
      <c r="F24" s="68"/>
    </row>
    <row r="25" spans="1:15">
      <c r="E25" s="68"/>
      <c r="F25" s="68"/>
    </row>
    <row r="26" spans="1:15">
      <c r="E26" s="68"/>
      <c r="F26" s="68"/>
    </row>
    <row r="27" spans="1:15">
      <c r="E27" s="68"/>
      <c r="F27" s="68"/>
    </row>
    <row r="28" spans="1:15">
      <c r="E28" s="68"/>
      <c r="F28" s="68"/>
    </row>
    <row r="29" spans="1:15">
      <c r="E29" s="68"/>
      <c r="F29" s="68"/>
    </row>
    <row r="30" spans="1:15">
      <c r="E30" s="68"/>
      <c r="F30" s="68"/>
    </row>
    <row r="31" spans="1:15">
      <c r="E31" s="68"/>
      <c r="F31" s="68"/>
    </row>
    <row r="32" spans="1:15">
      <c r="E32" s="68"/>
      <c r="F32" s="68"/>
    </row>
    <row r="33" spans="5:6">
      <c r="E33" s="68"/>
      <c r="F33" s="68"/>
    </row>
    <row r="34" spans="5:6">
      <c r="E34" s="68"/>
      <c r="F34" s="68"/>
    </row>
    <row r="35" spans="5:6">
      <c r="E35" s="68"/>
      <c r="F35" s="68"/>
    </row>
    <row r="36" spans="5:6">
      <c r="E36" s="68"/>
      <c r="F36" s="68"/>
    </row>
    <row r="37" spans="5:6">
      <c r="E37" s="68"/>
      <c r="F37" s="68"/>
    </row>
    <row r="38" spans="5:6">
      <c r="E38" s="68"/>
      <c r="F38" s="68"/>
    </row>
    <row r="39" spans="5:6">
      <c r="E39" s="68"/>
      <c r="F39" s="68"/>
    </row>
    <row r="40" spans="5:6">
      <c r="E40" s="68"/>
      <c r="F40" s="68"/>
    </row>
    <row r="41" spans="5:6">
      <c r="E41" s="68"/>
      <c r="F41" s="68"/>
    </row>
    <row r="42" spans="5:6">
      <c r="E42" s="68"/>
      <c r="F42" s="68"/>
    </row>
    <row r="43" spans="5:6">
      <c r="E43" s="68"/>
      <c r="F43" s="68"/>
    </row>
    <row r="44" spans="5:6">
      <c r="E44" s="68"/>
      <c r="F44" s="68"/>
    </row>
    <row r="45" spans="5:6">
      <c r="E45" s="68"/>
      <c r="F45" s="68"/>
    </row>
    <row r="46" spans="5:6">
      <c r="E46" s="68"/>
      <c r="F46" s="68"/>
    </row>
    <row r="47" spans="5:6">
      <c r="E47" s="68"/>
      <c r="F47" s="68"/>
    </row>
    <row r="48" spans="5:6">
      <c r="E48" s="68"/>
      <c r="F48" s="68"/>
    </row>
    <row r="49" spans="5:6">
      <c r="E49" s="68"/>
      <c r="F49" s="68"/>
    </row>
    <row r="50" spans="5:6">
      <c r="E50" s="68"/>
      <c r="F50" s="68"/>
    </row>
    <row r="51" spans="5:6">
      <c r="E51" s="68"/>
      <c r="F51" s="68"/>
    </row>
    <row r="52" spans="5:6">
      <c r="E52" s="68"/>
      <c r="F52" s="68"/>
    </row>
    <row r="53" spans="5:6">
      <c r="E53" s="68"/>
      <c r="F53" s="68"/>
    </row>
    <row r="54" spans="5:6">
      <c r="E54" s="68"/>
      <c r="F54" s="68"/>
    </row>
    <row r="55" spans="5:6">
      <c r="E55" s="68"/>
      <c r="F55" s="68"/>
    </row>
    <row r="56" spans="5:6">
      <c r="E56" s="68"/>
      <c r="F56" s="68"/>
    </row>
    <row r="57" spans="5:6">
      <c r="E57" s="68"/>
      <c r="F57" s="68"/>
    </row>
    <row r="58" spans="5:6">
      <c r="E58" s="68"/>
      <c r="F58" s="68"/>
    </row>
    <row r="59" spans="5:6">
      <c r="E59" s="68"/>
      <c r="F59" s="68"/>
    </row>
    <row r="60" spans="5:6">
      <c r="E60" s="68"/>
      <c r="F60" s="68"/>
    </row>
    <row r="61" spans="5:6">
      <c r="E61" s="68"/>
      <c r="F61" s="68"/>
    </row>
    <row r="62" spans="5:6">
      <c r="E62" s="68"/>
      <c r="F62" s="68"/>
    </row>
    <row r="63" spans="5:6">
      <c r="E63" s="68"/>
      <c r="F63" s="68"/>
    </row>
    <row r="64" spans="5:6">
      <c r="E64" s="68"/>
      <c r="F64" s="68"/>
    </row>
    <row r="65" spans="5:6">
      <c r="E65" s="68"/>
      <c r="F65" s="68"/>
    </row>
    <row r="66" spans="5:6">
      <c r="E66" s="68"/>
      <c r="F66" s="68"/>
    </row>
    <row r="67" spans="5:6">
      <c r="E67" s="68"/>
      <c r="F67" s="68"/>
    </row>
    <row r="68" spans="5:6">
      <c r="E68" s="68"/>
      <c r="F68" s="68"/>
    </row>
    <row r="69" spans="5:6">
      <c r="E69" s="68"/>
      <c r="F69" s="68"/>
    </row>
    <row r="70" spans="5:6">
      <c r="E70" s="68"/>
      <c r="F70" s="68"/>
    </row>
    <row r="71" spans="5:6">
      <c r="E71" s="68"/>
      <c r="F71" s="68"/>
    </row>
    <row r="72" spans="5:6">
      <c r="E72" s="68"/>
      <c r="F72" s="68"/>
    </row>
    <row r="73" spans="5:6">
      <c r="E73" s="68"/>
      <c r="F73" s="68"/>
    </row>
    <row r="74" spans="5:6">
      <c r="E74" s="68"/>
      <c r="F74" s="68"/>
    </row>
    <row r="75" spans="5:6">
      <c r="E75" s="68"/>
      <c r="F75" s="68"/>
    </row>
    <row r="76" spans="5:6">
      <c r="E76" s="68"/>
      <c r="F76" s="68"/>
    </row>
    <row r="77" spans="5:6">
      <c r="E77" s="68"/>
      <c r="F77" s="68"/>
    </row>
    <row r="78" spans="5:6">
      <c r="E78" s="68"/>
      <c r="F78" s="68"/>
    </row>
    <row r="79" spans="5:6">
      <c r="E79" s="68"/>
      <c r="F79" s="68"/>
    </row>
    <row r="80" spans="5:6">
      <c r="E80" s="68"/>
      <c r="F80" s="68"/>
    </row>
    <row r="81" spans="5:6">
      <c r="E81" s="68"/>
      <c r="F81" s="68"/>
    </row>
    <row r="82" spans="5:6">
      <c r="E82" s="68"/>
      <c r="F82" s="68"/>
    </row>
    <row r="83" spans="5:6">
      <c r="E83" s="68"/>
      <c r="F83" s="68"/>
    </row>
    <row r="84" spans="5:6">
      <c r="E84" s="68"/>
      <c r="F84" s="68"/>
    </row>
    <row r="85" spans="5:6">
      <c r="E85" s="68"/>
      <c r="F85" s="68"/>
    </row>
    <row r="86" spans="5:6">
      <c r="E86" s="68"/>
      <c r="F86" s="68"/>
    </row>
    <row r="87" spans="5:6">
      <c r="E87" s="68"/>
      <c r="F87" s="68"/>
    </row>
    <row r="88" spans="5:6">
      <c r="E88" s="68"/>
      <c r="F88" s="68"/>
    </row>
    <row r="89" spans="5:6">
      <c r="E89" s="68"/>
      <c r="F89" s="68"/>
    </row>
    <row r="90" spans="5:6">
      <c r="E90" s="68"/>
      <c r="F90" s="68"/>
    </row>
    <row r="91" spans="5:6">
      <c r="E91" s="68"/>
      <c r="F91" s="68"/>
    </row>
    <row r="92" spans="5:6">
      <c r="E92" s="68"/>
      <c r="F92" s="68"/>
    </row>
    <row r="93" spans="5:6">
      <c r="E93" s="68"/>
      <c r="F93" s="68"/>
    </row>
    <row r="94" spans="5:6">
      <c r="E94" s="68"/>
      <c r="F94" s="68"/>
    </row>
    <row r="95" spans="5:6">
      <c r="E95" s="68"/>
      <c r="F95" s="68"/>
    </row>
    <row r="96" spans="5:6">
      <c r="E96" s="68"/>
      <c r="F96" s="68"/>
    </row>
    <row r="97" spans="5:6">
      <c r="E97" s="68"/>
      <c r="F97" s="68"/>
    </row>
    <row r="98" spans="5:6">
      <c r="E98" s="68"/>
      <c r="F98" s="68"/>
    </row>
    <row r="99" spans="5:6">
      <c r="E99" s="68"/>
      <c r="F99" s="68"/>
    </row>
    <row r="100" spans="5:6">
      <c r="E100" s="68"/>
      <c r="F100" s="68"/>
    </row>
    <row r="101" spans="5:6">
      <c r="E101" s="68"/>
      <c r="F101" s="68"/>
    </row>
    <row r="102" spans="5:6">
      <c r="E102" s="68"/>
      <c r="F102" s="68"/>
    </row>
    <row r="103" spans="5:6">
      <c r="E103" s="68"/>
      <c r="F103" s="68"/>
    </row>
    <row r="104" spans="5:6">
      <c r="E104" s="68"/>
      <c r="F104" s="68"/>
    </row>
    <row r="105" spans="5:6">
      <c r="E105" s="68"/>
      <c r="F105" s="68"/>
    </row>
    <row r="106" spans="5:6">
      <c r="E106" s="68"/>
      <c r="F106" s="68"/>
    </row>
    <row r="107" spans="5:6">
      <c r="E107" s="68"/>
      <c r="F107" s="68"/>
    </row>
    <row r="108" spans="5:6">
      <c r="E108" s="68"/>
      <c r="F108" s="68"/>
    </row>
    <row r="109" spans="5:6">
      <c r="E109" s="68"/>
      <c r="F109" s="68"/>
    </row>
    <row r="110" spans="5:6">
      <c r="E110" s="68"/>
      <c r="F110" s="68"/>
    </row>
    <row r="111" spans="5:6">
      <c r="E111" s="68"/>
      <c r="F111" s="68"/>
    </row>
    <row r="112" spans="5:6">
      <c r="E112" s="68"/>
      <c r="F112" s="68"/>
    </row>
    <row r="113" spans="5:6">
      <c r="E113" s="68"/>
      <c r="F113" s="68"/>
    </row>
    <row r="114" spans="5:6">
      <c r="E114" s="68"/>
      <c r="F114" s="68"/>
    </row>
    <row r="115" spans="5:6">
      <c r="E115" s="68"/>
      <c r="F115" s="68"/>
    </row>
    <row r="116" spans="5:6">
      <c r="E116" s="68"/>
      <c r="F116" s="68"/>
    </row>
    <row r="117" spans="5:6">
      <c r="E117" s="68"/>
      <c r="F117" s="68"/>
    </row>
    <row r="118" spans="5:6">
      <c r="E118" s="68"/>
      <c r="F118" s="68"/>
    </row>
    <row r="119" spans="5:6">
      <c r="E119" s="68"/>
      <c r="F119" s="68"/>
    </row>
    <row r="120" spans="5:6">
      <c r="E120" s="68"/>
      <c r="F120" s="68"/>
    </row>
    <row r="121" spans="5:6">
      <c r="E121" s="68"/>
      <c r="F121" s="68"/>
    </row>
    <row r="122" spans="5:6">
      <c r="E122" s="68"/>
      <c r="F122" s="68"/>
    </row>
    <row r="123" spans="5:6">
      <c r="E123" s="68"/>
      <c r="F123" s="68"/>
    </row>
    <row r="124" spans="5:6">
      <c r="E124" s="68"/>
      <c r="F124" s="68"/>
    </row>
    <row r="125" spans="5:6">
      <c r="E125" s="68"/>
      <c r="F125" s="68"/>
    </row>
    <row r="126" spans="5:6">
      <c r="E126" s="68"/>
      <c r="F126" s="68"/>
    </row>
    <row r="127" spans="5:6">
      <c r="E127" s="68"/>
      <c r="F127" s="68"/>
    </row>
    <row r="128" spans="5:6">
      <c r="E128" s="68"/>
      <c r="F128" s="68"/>
    </row>
    <row r="129" spans="5:6">
      <c r="E129" s="68"/>
      <c r="F129" s="68"/>
    </row>
    <row r="130" spans="5:6">
      <c r="E130" s="68"/>
      <c r="F130" s="68"/>
    </row>
    <row r="131" spans="5:6">
      <c r="E131" s="68"/>
      <c r="F131" s="68"/>
    </row>
    <row r="132" spans="5:6">
      <c r="E132" s="68"/>
      <c r="F132" s="68"/>
    </row>
    <row r="133" spans="5:6">
      <c r="E133" s="68"/>
      <c r="F133" s="68"/>
    </row>
    <row r="134" spans="5:6">
      <c r="E134" s="68"/>
      <c r="F134" s="68"/>
    </row>
    <row r="135" spans="5:6">
      <c r="E135" s="68"/>
      <c r="F135" s="68"/>
    </row>
    <row r="136" spans="5:6">
      <c r="E136" s="68"/>
      <c r="F136" s="68"/>
    </row>
    <row r="137" spans="5:6">
      <c r="E137" s="68"/>
      <c r="F137" s="68"/>
    </row>
    <row r="138" spans="5:6">
      <c r="E138" s="68"/>
      <c r="F138" s="68"/>
    </row>
    <row r="139" spans="5:6">
      <c r="E139" s="68"/>
      <c r="F139" s="68"/>
    </row>
    <row r="140" spans="5:6">
      <c r="E140" s="68"/>
      <c r="F140" s="68"/>
    </row>
    <row r="141" spans="5:6">
      <c r="E141" s="68"/>
      <c r="F141" s="68"/>
    </row>
    <row r="142" spans="5:6">
      <c r="E142" s="68"/>
      <c r="F142" s="68"/>
    </row>
    <row r="143" spans="5:6">
      <c r="E143" s="68"/>
      <c r="F143" s="68"/>
    </row>
    <row r="144" spans="5:6">
      <c r="E144" s="68"/>
      <c r="F144" s="68"/>
    </row>
    <row r="145" spans="5:6">
      <c r="E145" s="68"/>
      <c r="F145" s="68"/>
    </row>
    <row r="146" spans="5:6">
      <c r="E146" s="68"/>
      <c r="F146" s="68"/>
    </row>
    <row r="147" spans="5:6">
      <c r="E147" s="68"/>
      <c r="F147" s="68"/>
    </row>
    <row r="148" spans="5:6">
      <c r="E148" s="68"/>
      <c r="F148" s="68"/>
    </row>
    <row r="149" spans="5:6">
      <c r="E149" s="68"/>
      <c r="F149" s="68"/>
    </row>
    <row r="150" spans="5:6">
      <c r="E150" s="68"/>
      <c r="F150" s="68"/>
    </row>
    <row r="151" spans="5:6">
      <c r="E151" s="68"/>
      <c r="F151" s="68"/>
    </row>
    <row r="152" spans="5:6">
      <c r="E152" s="68"/>
      <c r="F152" s="68"/>
    </row>
    <row r="153" spans="5:6">
      <c r="E153" s="68"/>
      <c r="F153" s="68"/>
    </row>
    <row r="154" spans="5:6">
      <c r="E154" s="68"/>
      <c r="F154" s="68"/>
    </row>
    <row r="155" spans="5:6">
      <c r="E155" s="68"/>
      <c r="F155" s="68"/>
    </row>
    <row r="156" spans="5:6">
      <c r="E156" s="68"/>
      <c r="F156" s="68"/>
    </row>
    <row r="157" spans="5:6">
      <c r="E157" s="68"/>
      <c r="F157" s="68"/>
    </row>
    <row r="158" spans="5:6">
      <c r="E158" s="68"/>
      <c r="F158" s="68"/>
    </row>
    <row r="159" spans="5:6">
      <c r="E159" s="68"/>
      <c r="F159" s="68"/>
    </row>
    <row r="160" spans="5:6">
      <c r="E160" s="68"/>
      <c r="F160" s="68"/>
    </row>
    <row r="161" spans="5:6">
      <c r="E161" s="68"/>
      <c r="F161" s="68"/>
    </row>
    <row r="162" spans="5:6">
      <c r="E162" s="68"/>
      <c r="F162" s="68"/>
    </row>
    <row r="163" spans="5:6">
      <c r="E163" s="68"/>
      <c r="F163" s="68"/>
    </row>
    <row r="164" spans="5:6">
      <c r="E164" s="68"/>
      <c r="F164" s="68"/>
    </row>
    <row r="165" spans="5:6">
      <c r="E165" s="68"/>
      <c r="F165" s="68"/>
    </row>
    <row r="166" spans="5:6">
      <c r="E166" s="68"/>
      <c r="F166" s="68"/>
    </row>
    <row r="167" spans="5:6">
      <c r="E167" s="68"/>
      <c r="F167" s="68"/>
    </row>
    <row r="168" spans="5:6">
      <c r="E168" s="68"/>
      <c r="F168" s="68"/>
    </row>
    <row r="169" spans="5:6">
      <c r="E169" s="68"/>
      <c r="F169" s="68"/>
    </row>
    <row r="170" spans="5:6">
      <c r="E170" s="68"/>
      <c r="F170" s="68"/>
    </row>
    <row r="171" spans="5:6">
      <c r="E171" s="68"/>
      <c r="F171" s="68"/>
    </row>
    <row r="172" spans="5:6">
      <c r="E172" s="68"/>
      <c r="F172" s="68"/>
    </row>
    <row r="173" spans="5:6">
      <c r="E173" s="68"/>
      <c r="F173" s="68"/>
    </row>
    <row r="174" spans="5:6">
      <c r="E174" s="68"/>
      <c r="F174" s="68"/>
    </row>
    <row r="175" spans="5:6">
      <c r="E175" s="68"/>
      <c r="F175" s="68"/>
    </row>
    <row r="176" spans="5:6">
      <c r="E176" s="68"/>
      <c r="F176" s="68"/>
    </row>
    <row r="177" spans="5:6">
      <c r="E177" s="68"/>
      <c r="F177" s="68"/>
    </row>
    <row r="178" spans="5:6">
      <c r="E178" s="68"/>
      <c r="F178" s="68"/>
    </row>
    <row r="179" spans="5:6">
      <c r="E179" s="68"/>
      <c r="F179" s="68"/>
    </row>
    <row r="180" spans="5:6">
      <c r="E180" s="68"/>
      <c r="F180" s="68"/>
    </row>
    <row r="181" spans="5:6">
      <c r="E181" s="68"/>
      <c r="F181" s="68"/>
    </row>
    <row r="182" spans="5:6">
      <c r="E182" s="68"/>
      <c r="F182" s="68"/>
    </row>
    <row r="183" spans="5:6">
      <c r="E183" s="68"/>
      <c r="F183" s="68"/>
    </row>
    <row r="184" spans="5:6">
      <c r="E184" s="68"/>
      <c r="F184" s="68"/>
    </row>
    <row r="185" spans="5:6">
      <c r="E185" s="68"/>
      <c r="F185" s="68"/>
    </row>
    <row r="186" spans="5:6">
      <c r="E186" s="68"/>
      <c r="F186" s="68"/>
    </row>
    <row r="187" spans="5:6">
      <c r="E187" s="68"/>
      <c r="F187" s="68"/>
    </row>
    <row r="188" spans="5:6">
      <c r="E188" s="68"/>
      <c r="F188" s="68"/>
    </row>
    <row r="189" spans="5:6">
      <c r="E189" s="68"/>
      <c r="F189" s="68"/>
    </row>
    <row r="190" spans="5:6">
      <c r="E190" s="68"/>
      <c r="F190" s="68"/>
    </row>
    <row r="191" spans="5:6">
      <c r="E191" s="68"/>
      <c r="F191" s="68"/>
    </row>
    <row r="192" spans="5:6">
      <c r="E192" s="68"/>
      <c r="F192" s="68"/>
    </row>
    <row r="193" spans="5:6">
      <c r="E193" s="68"/>
      <c r="F193" s="68"/>
    </row>
    <row r="194" spans="5:6">
      <c r="E194" s="68"/>
      <c r="F194" s="68"/>
    </row>
    <row r="195" spans="5:6">
      <c r="E195" s="68"/>
      <c r="F195" s="68"/>
    </row>
    <row r="196" spans="5:6">
      <c r="E196" s="68"/>
      <c r="F196" s="68"/>
    </row>
    <row r="197" spans="5:6">
      <c r="E197" s="68"/>
      <c r="F197" s="68"/>
    </row>
    <row r="198" spans="5:6">
      <c r="E198" s="68"/>
      <c r="F198" s="68"/>
    </row>
    <row r="199" spans="5:6">
      <c r="E199" s="68"/>
      <c r="F199" s="68"/>
    </row>
    <row r="200" spans="5:6">
      <c r="E200" s="68"/>
      <c r="F200" s="68"/>
    </row>
    <row r="201" spans="5:6">
      <c r="E201" s="68"/>
      <c r="F201" s="68"/>
    </row>
    <row r="202" spans="5:6">
      <c r="E202" s="68"/>
      <c r="F202" s="68"/>
    </row>
    <row r="203" spans="5:6">
      <c r="E203" s="68"/>
      <c r="F203" s="68"/>
    </row>
    <row r="204" spans="5:6">
      <c r="E204" s="68"/>
      <c r="F204" s="68"/>
    </row>
    <row r="205" spans="5:6">
      <c r="E205" s="68"/>
      <c r="F205" s="68"/>
    </row>
    <row r="206" spans="5:6">
      <c r="E206" s="68"/>
      <c r="F206" s="68"/>
    </row>
    <row r="207" spans="5:6">
      <c r="E207" s="68"/>
      <c r="F207" s="68"/>
    </row>
    <row r="208" spans="5:6">
      <c r="E208" s="68"/>
      <c r="F208" s="68"/>
    </row>
    <row r="209" spans="5:6">
      <c r="E209" s="68"/>
      <c r="F209" s="68"/>
    </row>
    <row r="210" spans="5:6">
      <c r="E210" s="68"/>
      <c r="F210" s="68"/>
    </row>
    <row r="211" spans="5:6">
      <c r="E211" s="68"/>
      <c r="F211" s="68"/>
    </row>
    <row r="212" spans="5:6">
      <c r="E212" s="68"/>
      <c r="F212" s="68"/>
    </row>
    <row r="213" spans="5:6">
      <c r="E213" s="68"/>
      <c r="F213" s="68"/>
    </row>
    <row r="214" spans="5:6">
      <c r="E214" s="68"/>
      <c r="F214" s="68"/>
    </row>
    <row r="215" spans="5:6">
      <c r="E215" s="68"/>
      <c r="F215" s="68"/>
    </row>
    <row r="216" spans="5:6">
      <c r="E216" s="68"/>
      <c r="F216" s="68"/>
    </row>
    <row r="217" spans="5:6">
      <c r="E217" s="68"/>
      <c r="F217" s="68"/>
    </row>
    <row r="218" spans="5:6">
      <c r="E218" s="68"/>
      <c r="F218" s="68"/>
    </row>
    <row r="219" spans="5:6">
      <c r="E219" s="68"/>
      <c r="F219" s="68"/>
    </row>
    <row r="220" spans="5:6">
      <c r="E220" s="68"/>
      <c r="F220" s="68"/>
    </row>
    <row r="221" spans="5:6">
      <c r="E221" s="68"/>
      <c r="F221" s="68"/>
    </row>
    <row r="222" spans="5:6">
      <c r="E222" s="68"/>
      <c r="F222" s="68"/>
    </row>
    <row r="223" spans="5:6">
      <c r="E223" s="68"/>
      <c r="F223" s="68"/>
    </row>
    <row r="224" spans="5:6">
      <c r="E224" s="68"/>
      <c r="F224" s="68"/>
    </row>
    <row r="225" spans="5:6">
      <c r="E225" s="68"/>
      <c r="F225" s="68"/>
    </row>
    <row r="226" spans="5:6">
      <c r="E226" s="68"/>
      <c r="F226" s="68"/>
    </row>
    <row r="227" spans="5:6">
      <c r="E227" s="68"/>
      <c r="F227" s="68"/>
    </row>
    <row r="228" spans="5:6">
      <c r="E228" s="68"/>
      <c r="F228" s="68"/>
    </row>
    <row r="229" spans="5:6">
      <c r="E229" s="68"/>
      <c r="F229" s="68"/>
    </row>
    <row r="230" spans="5:6">
      <c r="E230" s="68"/>
      <c r="F230" s="68"/>
    </row>
    <row r="231" spans="5:6">
      <c r="E231" s="68"/>
      <c r="F231" s="68"/>
    </row>
    <row r="232" spans="5:6">
      <c r="E232" s="68"/>
      <c r="F232" s="68"/>
    </row>
    <row r="233" spans="5:6">
      <c r="E233" s="68"/>
      <c r="F233" s="68"/>
    </row>
    <row r="234" spans="5:6">
      <c r="E234" s="68"/>
      <c r="F234" s="68"/>
    </row>
    <row r="235" spans="5:6">
      <c r="E235" s="68"/>
      <c r="F235" s="68"/>
    </row>
    <row r="236" spans="5:6">
      <c r="E236" s="68"/>
      <c r="F236" s="68"/>
    </row>
    <row r="237" spans="5:6">
      <c r="E237" s="68"/>
      <c r="F237" s="68"/>
    </row>
    <row r="238" spans="5:6">
      <c r="E238" s="68"/>
      <c r="F238" s="68"/>
    </row>
    <row r="239" spans="5:6">
      <c r="E239" s="68"/>
      <c r="F239" s="68"/>
    </row>
    <row r="240" spans="5:6">
      <c r="E240" s="68"/>
      <c r="F240" s="68"/>
    </row>
    <row r="241" spans="5:6">
      <c r="E241" s="68"/>
      <c r="F241" s="68"/>
    </row>
    <row r="242" spans="5:6">
      <c r="E242" s="68"/>
      <c r="F242" s="68"/>
    </row>
    <row r="243" spans="5:6">
      <c r="E243" s="68"/>
      <c r="F243" s="68"/>
    </row>
    <row r="244" spans="5:6">
      <c r="E244" s="68"/>
      <c r="F244" s="68"/>
    </row>
    <row r="245" spans="5:6">
      <c r="E245" s="68"/>
      <c r="F245" s="68"/>
    </row>
    <row r="246" spans="5:6">
      <c r="E246" s="68"/>
      <c r="F246" s="68"/>
    </row>
    <row r="247" spans="5:6">
      <c r="E247" s="68"/>
      <c r="F247" s="68"/>
    </row>
    <row r="248" spans="5:6">
      <c r="E248" s="68"/>
      <c r="F248" s="68"/>
    </row>
    <row r="249" spans="5:6">
      <c r="E249" s="68"/>
      <c r="F249" s="68"/>
    </row>
    <row r="250" spans="5:6">
      <c r="E250" s="68"/>
      <c r="F250" s="68"/>
    </row>
    <row r="251" spans="5:6">
      <c r="E251" s="68"/>
      <c r="F251" s="68"/>
    </row>
    <row r="252" spans="5:6">
      <c r="E252" s="68"/>
      <c r="F252" s="68"/>
    </row>
    <row r="253" spans="5:6">
      <c r="E253" s="68"/>
      <c r="F253" s="68"/>
    </row>
    <row r="254" spans="5:6">
      <c r="E254" s="68"/>
      <c r="F254" s="68"/>
    </row>
    <row r="255" spans="5:6">
      <c r="E255" s="68"/>
      <c r="F255" s="68"/>
    </row>
    <row r="256" spans="5:6">
      <c r="E256" s="68"/>
      <c r="F256" s="68"/>
    </row>
    <row r="257" spans="5:6">
      <c r="E257" s="68"/>
      <c r="F257" s="68"/>
    </row>
    <row r="258" spans="5:6">
      <c r="E258" s="68"/>
      <c r="F258" s="68"/>
    </row>
    <row r="259" spans="5:6">
      <c r="E259" s="68"/>
      <c r="F259" s="68"/>
    </row>
    <row r="260" spans="5:6">
      <c r="E260" s="68"/>
      <c r="F260" s="68"/>
    </row>
    <row r="261" spans="5:6">
      <c r="E261" s="68"/>
      <c r="F261" s="68"/>
    </row>
    <row r="262" spans="5:6">
      <c r="E262" s="68"/>
      <c r="F262" s="68"/>
    </row>
    <row r="263" spans="5:6">
      <c r="E263" s="68"/>
      <c r="F263" s="68"/>
    </row>
    <row r="264" spans="5:6">
      <c r="E264" s="68"/>
      <c r="F264" s="68"/>
    </row>
    <row r="265" spans="5:6">
      <c r="E265" s="68"/>
      <c r="F265" s="68"/>
    </row>
    <row r="266" spans="5:6">
      <c r="E266" s="68"/>
      <c r="F266" s="68"/>
    </row>
    <row r="267" spans="5:6">
      <c r="E267" s="68"/>
      <c r="F267" s="68"/>
    </row>
    <row r="268" spans="5:6">
      <c r="E268" s="68"/>
      <c r="F268" s="68"/>
    </row>
    <row r="269" spans="5:6">
      <c r="E269" s="68"/>
      <c r="F269" s="68"/>
    </row>
    <row r="270" spans="5:6">
      <c r="E270" s="68"/>
      <c r="F270" s="68"/>
    </row>
    <row r="271" spans="5:6">
      <c r="E271" s="68"/>
      <c r="F271" s="68"/>
    </row>
    <row r="272" spans="5:6">
      <c r="E272" s="68"/>
      <c r="F272" s="68"/>
    </row>
    <row r="273" spans="5:6">
      <c r="E273" s="68"/>
      <c r="F273" s="68"/>
    </row>
    <row r="274" spans="5:6">
      <c r="E274" s="68"/>
      <c r="F274" s="68"/>
    </row>
    <row r="275" spans="5:6">
      <c r="E275" s="68"/>
      <c r="F275" s="68"/>
    </row>
    <row r="276" spans="5:6">
      <c r="E276" s="68"/>
      <c r="F276" s="68"/>
    </row>
    <row r="277" spans="5:6">
      <c r="E277" s="68"/>
      <c r="F277" s="68"/>
    </row>
    <row r="278" spans="5:6">
      <c r="E278" s="68"/>
      <c r="F278" s="68"/>
    </row>
    <row r="279" spans="5:6">
      <c r="E279" s="68"/>
      <c r="F279" s="68"/>
    </row>
    <row r="280" spans="5:6">
      <c r="E280" s="68"/>
      <c r="F280" s="68"/>
    </row>
    <row r="281" spans="5:6">
      <c r="E281" s="68"/>
      <c r="F281" s="68"/>
    </row>
    <row r="282" spans="5:6">
      <c r="E282" s="68"/>
      <c r="F282" s="68"/>
    </row>
    <row r="283" spans="5:6">
      <c r="E283" s="68"/>
      <c r="F283" s="68"/>
    </row>
    <row r="284" spans="5:6">
      <c r="E284" s="68"/>
      <c r="F284" s="68"/>
    </row>
    <row r="285" spans="5:6">
      <c r="E285" s="68"/>
      <c r="F285" s="68"/>
    </row>
    <row r="286" spans="5:6">
      <c r="E286" s="68"/>
      <c r="F286" s="68"/>
    </row>
    <row r="287" spans="5:6">
      <c r="E287" s="68"/>
      <c r="F287" s="68"/>
    </row>
    <row r="288" spans="5:6">
      <c r="E288" s="68"/>
      <c r="F288" s="68"/>
    </row>
    <row r="289" spans="5:6">
      <c r="E289" s="68"/>
      <c r="F289" s="68"/>
    </row>
    <row r="290" spans="5:6">
      <c r="E290" s="68"/>
      <c r="F290" s="68"/>
    </row>
    <row r="291" spans="5:6">
      <c r="E291" s="68"/>
      <c r="F291" s="68"/>
    </row>
    <row r="292" spans="5:6">
      <c r="E292" s="68"/>
      <c r="F292" s="68"/>
    </row>
    <row r="293" spans="5:6">
      <c r="E293" s="68"/>
      <c r="F293" s="68"/>
    </row>
    <row r="294" spans="5:6">
      <c r="E294" s="68"/>
      <c r="F294" s="68"/>
    </row>
    <row r="295" spans="5:6">
      <c r="E295" s="68"/>
      <c r="F295" s="68"/>
    </row>
    <row r="296" spans="5:6">
      <c r="E296" s="68"/>
      <c r="F296" s="68"/>
    </row>
    <row r="297" spans="5:6">
      <c r="E297" s="68"/>
      <c r="F297" s="68"/>
    </row>
    <row r="298" spans="5:6">
      <c r="E298" s="68"/>
      <c r="F298" s="68"/>
    </row>
    <row r="299" spans="5:6">
      <c r="E299" s="68"/>
      <c r="F299" s="68"/>
    </row>
    <row r="300" spans="5:6">
      <c r="E300" s="68"/>
      <c r="F300" s="68"/>
    </row>
    <row r="301" spans="5:6">
      <c r="E301" s="68"/>
      <c r="F301" s="68"/>
    </row>
    <row r="302" spans="5:6">
      <c r="E302" s="68"/>
      <c r="F302" s="68"/>
    </row>
    <row r="303" spans="5:6">
      <c r="E303" s="68"/>
      <c r="F303" s="68"/>
    </row>
    <row r="304" spans="5:6">
      <c r="E304" s="68"/>
      <c r="F304" s="68"/>
    </row>
    <row r="305" spans="5:6">
      <c r="E305" s="68"/>
      <c r="F305" s="68"/>
    </row>
    <row r="306" spans="5:6">
      <c r="E306" s="68"/>
      <c r="F306" s="68"/>
    </row>
    <row r="307" spans="5:6">
      <c r="E307" s="68"/>
      <c r="F307" s="68"/>
    </row>
    <row r="308" spans="5:6">
      <c r="E308" s="68"/>
      <c r="F308" s="68"/>
    </row>
    <row r="309" spans="5:6">
      <c r="E309" s="68"/>
      <c r="F309" s="68"/>
    </row>
    <row r="310" spans="5:6">
      <c r="E310" s="68"/>
      <c r="F310" s="68"/>
    </row>
    <row r="311" spans="5:6">
      <c r="E311" s="68"/>
      <c r="F311" s="68"/>
    </row>
    <row r="312" spans="5:6">
      <c r="E312" s="68"/>
      <c r="F312" s="68"/>
    </row>
    <row r="313" spans="5:6">
      <c r="E313" s="68"/>
      <c r="F313" s="68"/>
    </row>
    <row r="314" spans="5:6">
      <c r="E314" s="68"/>
      <c r="F314" s="68"/>
    </row>
    <row r="315" spans="5:6">
      <c r="E315" s="68"/>
      <c r="F315" s="68"/>
    </row>
    <row r="316" spans="5:6">
      <c r="E316" s="68"/>
      <c r="F316" s="68"/>
    </row>
    <row r="317" spans="5:6">
      <c r="E317" s="68"/>
      <c r="F317" s="68"/>
    </row>
    <row r="318" spans="5:6">
      <c r="E318" s="68"/>
      <c r="F318" s="68"/>
    </row>
    <row r="319" spans="5:6">
      <c r="E319" s="68"/>
      <c r="F319" s="68"/>
    </row>
    <row r="320" spans="5:6">
      <c r="E320" s="68"/>
      <c r="F320" s="68"/>
    </row>
    <row r="321" spans="5:6">
      <c r="E321" s="68"/>
      <c r="F321" s="68"/>
    </row>
    <row r="322" spans="5:6">
      <c r="E322" s="68"/>
      <c r="F322" s="68"/>
    </row>
    <row r="323" spans="5:6">
      <c r="E323" s="68"/>
      <c r="F323" s="68"/>
    </row>
    <row r="324" spans="5:6">
      <c r="E324" s="68"/>
      <c r="F324" s="68"/>
    </row>
    <row r="325" spans="5:6">
      <c r="E325" s="68"/>
      <c r="F325" s="68"/>
    </row>
    <row r="326" spans="5:6">
      <c r="E326" s="68"/>
      <c r="F326" s="68"/>
    </row>
    <row r="327" spans="5:6">
      <c r="E327" s="68"/>
      <c r="F327" s="68"/>
    </row>
    <row r="328" spans="5:6">
      <c r="E328" s="68"/>
      <c r="F328" s="68"/>
    </row>
    <row r="329" spans="5:6">
      <c r="E329" s="68"/>
      <c r="F329" s="68"/>
    </row>
    <row r="330" spans="5:6">
      <c r="E330" s="68"/>
      <c r="F330" s="68"/>
    </row>
    <row r="331" spans="5:6">
      <c r="E331" s="68"/>
      <c r="F331" s="68"/>
    </row>
    <row r="332" spans="5:6">
      <c r="E332" s="68"/>
      <c r="F332" s="68"/>
    </row>
    <row r="333" spans="5:6">
      <c r="E333" s="68"/>
      <c r="F333" s="68"/>
    </row>
    <row r="334" spans="5:6">
      <c r="E334" s="68"/>
      <c r="F334" s="68"/>
    </row>
    <row r="335" spans="5:6">
      <c r="E335" s="68"/>
      <c r="F335" s="68"/>
    </row>
    <row r="336" spans="5:6">
      <c r="E336" s="68"/>
      <c r="F336" s="68"/>
    </row>
    <row r="337" spans="5:6">
      <c r="E337" s="68"/>
      <c r="F337" s="68"/>
    </row>
    <row r="338" spans="5:6">
      <c r="E338" s="68"/>
      <c r="F338" s="68"/>
    </row>
    <row r="339" spans="5:6">
      <c r="E339" s="68"/>
      <c r="F339" s="68"/>
    </row>
    <row r="340" spans="5:6">
      <c r="E340" s="68"/>
      <c r="F340" s="68"/>
    </row>
    <row r="341" spans="5:6">
      <c r="E341" s="68"/>
      <c r="F341" s="68"/>
    </row>
    <row r="342" spans="5:6">
      <c r="E342" s="68"/>
      <c r="F342" s="68"/>
    </row>
    <row r="343" spans="5:6">
      <c r="E343" s="68"/>
      <c r="F343" s="68"/>
    </row>
    <row r="344" spans="5:6">
      <c r="E344" s="68"/>
      <c r="F344" s="68"/>
    </row>
    <row r="345" spans="5:6">
      <c r="E345" s="68"/>
      <c r="F345" s="68"/>
    </row>
    <row r="346" spans="5:6">
      <c r="E346" s="68"/>
      <c r="F346" s="68"/>
    </row>
    <row r="347" spans="5:6">
      <c r="E347" s="68"/>
      <c r="F347" s="68"/>
    </row>
    <row r="348" spans="5:6">
      <c r="E348" s="68"/>
      <c r="F348" s="68"/>
    </row>
    <row r="349" spans="5:6">
      <c r="E349" s="68"/>
      <c r="F349" s="68"/>
    </row>
    <row r="350" spans="5:6">
      <c r="E350" s="68"/>
      <c r="F350" s="68"/>
    </row>
    <row r="351" spans="5:6">
      <c r="E351" s="68"/>
      <c r="F351" s="68"/>
    </row>
    <row r="352" spans="5:6">
      <c r="E352" s="68"/>
      <c r="F352" s="68"/>
    </row>
    <row r="353" spans="5:6">
      <c r="E353" s="68"/>
      <c r="F353" s="68"/>
    </row>
    <row r="354" spans="5:6">
      <c r="E354" s="68"/>
      <c r="F354" s="68"/>
    </row>
    <row r="355" spans="5:6">
      <c r="E355" s="68"/>
      <c r="F355" s="68"/>
    </row>
    <row r="356" spans="5:6">
      <c r="E356" s="68"/>
      <c r="F356" s="68"/>
    </row>
    <row r="357" spans="5:6">
      <c r="E357" s="68"/>
      <c r="F357" s="68"/>
    </row>
    <row r="358" spans="5:6">
      <c r="E358" s="68"/>
      <c r="F358" s="68"/>
    </row>
    <row r="359" spans="5:6">
      <c r="E359" s="68"/>
      <c r="F359" s="68"/>
    </row>
    <row r="360" spans="5:6">
      <c r="E360" s="68"/>
      <c r="F360" s="68"/>
    </row>
    <row r="361" spans="5:6">
      <c r="E361" s="68"/>
      <c r="F361" s="68"/>
    </row>
    <row r="362" spans="5:6">
      <c r="E362" s="68"/>
      <c r="F362" s="68"/>
    </row>
    <row r="363" spans="5:6">
      <c r="E363" s="68"/>
      <c r="F363" s="68"/>
    </row>
    <row r="364" spans="5:6">
      <c r="E364" s="68"/>
      <c r="F364" s="68"/>
    </row>
    <row r="365" spans="5:6">
      <c r="E365" s="68"/>
      <c r="F365" s="68"/>
    </row>
    <row r="366" spans="5:6">
      <c r="E366" s="68"/>
      <c r="F366" s="68"/>
    </row>
    <row r="367" spans="5:6">
      <c r="E367" s="68"/>
      <c r="F367" s="68"/>
    </row>
    <row r="368" spans="5:6">
      <c r="E368" s="68"/>
      <c r="F368" s="68"/>
    </row>
    <row r="369" spans="5:6">
      <c r="E369" s="68"/>
      <c r="F369" s="68"/>
    </row>
    <row r="370" spans="5:6">
      <c r="E370" s="68"/>
      <c r="F370" s="68"/>
    </row>
    <row r="371" spans="5:6">
      <c r="E371" s="68"/>
      <c r="F371" s="68"/>
    </row>
    <row r="372" spans="5:6">
      <c r="E372" s="68"/>
      <c r="F372" s="68"/>
    </row>
    <row r="373" spans="5:6">
      <c r="E373" s="68"/>
      <c r="F373" s="68"/>
    </row>
    <row r="374" spans="5:6">
      <c r="E374" s="68"/>
      <c r="F374" s="68"/>
    </row>
    <row r="375" spans="5:6">
      <c r="E375" s="68"/>
      <c r="F375" s="68"/>
    </row>
    <row r="376" spans="5:6">
      <c r="E376" s="68"/>
      <c r="F376" s="68"/>
    </row>
    <row r="377" spans="5:6">
      <c r="E377" s="68"/>
      <c r="F377" s="68"/>
    </row>
    <row r="378" spans="5:6">
      <c r="E378" s="68"/>
      <c r="F378" s="68"/>
    </row>
    <row r="379" spans="5:6">
      <c r="E379" s="68"/>
      <c r="F379" s="68"/>
    </row>
    <row r="380" spans="5:6">
      <c r="E380" s="68"/>
      <c r="F380" s="68"/>
    </row>
    <row r="381" spans="5:6">
      <c r="E381" s="68"/>
      <c r="F381" s="68"/>
    </row>
    <row r="382" spans="5:6">
      <c r="E382" s="68"/>
      <c r="F382" s="68"/>
    </row>
    <row r="383" spans="5:6">
      <c r="E383" s="68"/>
      <c r="F383" s="68"/>
    </row>
    <row r="384" spans="5:6">
      <c r="E384" s="68"/>
      <c r="F384" s="68"/>
    </row>
    <row r="385" spans="5:6">
      <c r="E385" s="68"/>
      <c r="F385" s="68"/>
    </row>
    <row r="386" spans="5:6">
      <c r="E386" s="68"/>
      <c r="F386" s="68"/>
    </row>
    <row r="387" spans="5:6">
      <c r="E387" s="68"/>
      <c r="F387" s="68"/>
    </row>
    <row r="388" spans="5:6">
      <c r="E388" s="68"/>
      <c r="F388" s="68"/>
    </row>
    <row r="389" spans="5:6">
      <c r="E389" s="68"/>
      <c r="F389" s="68"/>
    </row>
    <row r="390" spans="5:6">
      <c r="E390" s="68"/>
      <c r="F390" s="68"/>
    </row>
    <row r="391" spans="5:6">
      <c r="E391" s="68"/>
      <c r="F391" s="68"/>
    </row>
    <row r="392" spans="5:6">
      <c r="E392" s="68"/>
      <c r="F392" s="68"/>
    </row>
    <row r="393" spans="5:6">
      <c r="E393" s="68"/>
      <c r="F393" s="68"/>
    </row>
    <row r="394" spans="5:6">
      <c r="E394" s="68"/>
      <c r="F394" s="68"/>
    </row>
    <row r="395" spans="5:6">
      <c r="E395" s="68"/>
      <c r="F395" s="68"/>
    </row>
    <row r="396" spans="5:6">
      <c r="E396" s="68"/>
      <c r="F396" s="68"/>
    </row>
    <row r="397" spans="5:6">
      <c r="E397" s="68"/>
      <c r="F397" s="68"/>
    </row>
    <row r="398" spans="5:6">
      <c r="E398" s="68"/>
      <c r="F398" s="68"/>
    </row>
    <row r="399" spans="5:6">
      <c r="E399" s="68"/>
      <c r="F399" s="68"/>
    </row>
    <row r="400" spans="5:6">
      <c r="E400" s="68"/>
      <c r="F400" s="68"/>
    </row>
    <row r="401" spans="5:6">
      <c r="E401" s="68"/>
      <c r="F401" s="68"/>
    </row>
    <row r="402" spans="5:6">
      <c r="E402" s="68"/>
      <c r="F402" s="68"/>
    </row>
    <row r="403" spans="5:6">
      <c r="E403" s="68"/>
      <c r="F403" s="68"/>
    </row>
    <row r="404" spans="5:6">
      <c r="E404" s="68"/>
      <c r="F404" s="68"/>
    </row>
    <row r="405" spans="5:6">
      <c r="E405" s="68"/>
      <c r="F405" s="68"/>
    </row>
    <row r="406" spans="5:6">
      <c r="E406" s="68"/>
      <c r="F406" s="68"/>
    </row>
    <row r="407" spans="5:6">
      <c r="E407" s="68"/>
      <c r="F407" s="68"/>
    </row>
    <row r="408" spans="5:6">
      <c r="E408" s="68"/>
      <c r="F408" s="68"/>
    </row>
    <row r="409" spans="5:6">
      <c r="E409" s="68"/>
      <c r="F409" s="68"/>
    </row>
    <row r="410" spans="5:6">
      <c r="E410" s="68"/>
      <c r="F410" s="68"/>
    </row>
    <row r="411" spans="5:6">
      <c r="E411" s="68"/>
      <c r="F411" s="68"/>
    </row>
    <row r="412" spans="5:6">
      <c r="E412" s="68"/>
      <c r="F412" s="68"/>
    </row>
    <row r="413" spans="5:6">
      <c r="E413" s="68"/>
      <c r="F413" s="68"/>
    </row>
    <row r="414" spans="5:6">
      <c r="E414" s="68"/>
      <c r="F414" s="68"/>
    </row>
    <row r="415" spans="5:6">
      <c r="E415" s="68"/>
      <c r="F415" s="68"/>
    </row>
    <row r="416" spans="5:6">
      <c r="E416" s="68"/>
      <c r="F416" s="68"/>
    </row>
    <row r="417" spans="5:6">
      <c r="E417" s="68"/>
      <c r="F417" s="68"/>
    </row>
    <row r="418" spans="5:6">
      <c r="E418" s="68"/>
      <c r="F418" s="68"/>
    </row>
    <row r="419" spans="5:6">
      <c r="E419" s="68"/>
      <c r="F419" s="68"/>
    </row>
    <row r="420" spans="5:6">
      <c r="E420" s="68"/>
      <c r="F420" s="68"/>
    </row>
    <row r="421" spans="5:6">
      <c r="E421" s="68"/>
      <c r="F421" s="68"/>
    </row>
    <row r="422" spans="5:6">
      <c r="E422" s="68"/>
      <c r="F422" s="68"/>
    </row>
    <row r="423" spans="5:6">
      <c r="E423" s="68"/>
      <c r="F423" s="68"/>
    </row>
    <row r="424" spans="5:6">
      <c r="E424" s="68"/>
      <c r="F424" s="68"/>
    </row>
    <row r="425" spans="5:6">
      <c r="E425" s="68"/>
      <c r="F425" s="68"/>
    </row>
    <row r="426" spans="5:6">
      <c r="E426" s="68"/>
      <c r="F426" s="68"/>
    </row>
    <row r="427" spans="5:6">
      <c r="E427" s="68"/>
      <c r="F427" s="68"/>
    </row>
    <row r="428" spans="5:6">
      <c r="E428" s="68"/>
      <c r="F428" s="68"/>
    </row>
    <row r="429" spans="5:6">
      <c r="E429" s="68"/>
      <c r="F429" s="68"/>
    </row>
    <row r="430" spans="5:6">
      <c r="E430" s="68"/>
      <c r="F430" s="68"/>
    </row>
    <row r="431" spans="5:6">
      <c r="E431" s="68"/>
      <c r="F431" s="68"/>
    </row>
    <row r="432" spans="5:6">
      <c r="E432" s="68"/>
      <c r="F432" s="68"/>
    </row>
    <row r="433" spans="5:6">
      <c r="E433" s="68"/>
      <c r="F433" s="68"/>
    </row>
    <row r="434" spans="5:6">
      <c r="E434" s="68"/>
      <c r="F434" s="68"/>
    </row>
    <row r="435" spans="5:6">
      <c r="E435" s="68"/>
      <c r="F435" s="68"/>
    </row>
    <row r="436" spans="5:6">
      <c r="E436" s="68"/>
      <c r="F436" s="68"/>
    </row>
    <row r="437" spans="5:6">
      <c r="E437" s="68"/>
      <c r="F437" s="68"/>
    </row>
    <row r="438" spans="5:6">
      <c r="E438" s="68"/>
      <c r="F438" s="68"/>
    </row>
    <row r="439" spans="5:6">
      <c r="E439" s="68"/>
      <c r="F439" s="68"/>
    </row>
    <row r="440" spans="5:6">
      <c r="E440" s="68"/>
      <c r="F440" s="68"/>
    </row>
    <row r="441" spans="5:6">
      <c r="E441" s="68"/>
      <c r="F441" s="68"/>
    </row>
    <row r="442" spans="5:6">
      <c r="E442" s="68"/>
      <c r="F442" s="68"/>
    </row>
    <row r="443" spans="5:6">
      <c r="E443" s="68"/>
      <c r="F443" s="68"/>
    </row>
    <row r="444" spans="5:6">
      <c r="E444" s="68"/>
      <c r="F444" s="68"/>
    </row>
    <row r="445" spans="5:6">
      <c r="E445" s="68"/>
      <c r="F445" s="68"/>
    </row>
    <row r="446" spans="5:6">
      <c r="E446" s="68"/>
      <c r="F446" s="68"/>
    </row>
    <row r="447" spans="5:6">
      <c r="E447" s="68"/>
      <c r="F447" s="68"/>
    </row>
    <row r="448" spans="5:6">
      <c r="E448" s="68"/>
      <c r="F448" s="68"/>
    </row>
    <row r="449" spans="5:6">
      <c r="E449" s="68"/>
      <c r="F449" s="68"/>
    </row>
    <row r="450" spans="5:6">
      <c r="E450" s="68"/>
      <c r="F450" s="68"/>
    </row>
    <row r="451" spans="5:6">
      <c r="E451" s="68"/>
      <c r="F451" s="68"/>
    </row>
    <row r="452" spans="5:6">
      <c r="E452" s="68"/>
      <c r="F452" s="68"/>
    </row>
    <row r="453" spans="5:6">
      <c r="E453" s="68"/>
      <c r="F453" s="68"/>
    </row>
    <row r="454" spans="5:6">
      <c r="E454" s="68"/>
      <c r="F454" s="68"/>
    </row>
    <row r="455" spans="5:6">
      <c r="E455" s="68"/>
      <c r="F455" s="68"/>
    </row>
    <row r="456" spans="5:6">
      <c r="E456" s="68"/>
      <c r="F456" s="68"/>
    </row>
    <row r="457" spans="5:6">
      <c r="E457" s="68"/>
      <c r="F457" s="68"/>
    </row>
    <row r="458" spans="5:6">
      <c r="E458" s="68"/>
      <c r="F458" s="68"/>
    </row>
    <row r="459" spans="5:6">
      <c r="E459" s="68"/>
      <c r="F459" s="68"/>
    </row>
    <row r="460" spans="5:6">
      <c r="E460" s="68"/>
      <c r="F460" s="68"/>
    </row>
    <row r="461" spans="5:6">
      <c r="E461" s="68"/>
      <c r="F461" s="68"/>
    </row>
    <row r="462" spans="5:6">
      <c r="E462" s="68"/>
      <c r="F462" s="68"/>
    </row>
    <row r="463" spans="5:6">
      <c r="E463" s="68"/>
      <c r="F463" s="68"/>
    </row>
    <row r="464" spans="5:6">
      <c r="E464" s="68"/>
      <c r="F464" s="68"/>
    </row>
    <row r="465" spans="5:6">
      <c r="E465" s="68"/>
      <c r="F465" s="68"/>
    </row>
    <row r="466" spans="5:6">
      <c r="E466" s="68"/>
      <c r="F466" s="68"/>
    </row>
    <row r="467" spans="5:6">
      <c r="E467" s="68"/>
      <c r="F467" s="68"/>
    </row>
    <row r="468" spans="5:6">
      <c r="E468" s="68"/>
      <c r="F468" s="68"/>
    </row>
    <row r="469" spans="5:6">
      <c r="E469" s="68"/>
      <c r="F469" s="68"/>
    </row>
    <row r="470" spans="5:6">
      <c r="E470" s="68"/>
      <c r="F470" s="68"/>
    </row>
    <row r="471" spans="5:6">
      <c r="E471" s="68"/>
      <c r="F471" s="68"/>
    </row>
    <row r="472" spans="5:6">
      <c r="E472" s="68"/>
      <c r="F472" s="68"/>
    </row>
    <row r="473" spans="5:6">
      <c r="E473" s="68"/>
      <c r="F473" s="68"/>
    </row>
    <row r="474" spans="5:6">
      <c r="E474" s="68"/>
      <c r="F474" s="68"/>
    </row>
    <row r="475" spans="5:6">
      <c r="E475" s="68"/>
      <c r="F475" s="68"/>
    </row>
    <row r="476" spans="5:6">
      <c r="E476" s="68"/>
      <c r="F476" s="68"/>
    </row>
    <row r="477" spans="5:6">
      <c r="E477" s="68"/>
      <c r="F477" s="68"/>
    </row>
    <row r="478" spans="5:6">
      <c r="E478" s="68"/>
      <c r="F478" s="68"/>
    </row>
    <row r="479" spans="5:6">
      <c r="E479" s="68"/>
      <c r="F479" s="68"/>
    </row>
    <row r="480" spans="5:6">
      <c r="E480" s="68"/>
      <c r="F480" s="68"/>
    </row>
    <row r="481" spans="5:6">
      <c r="E481" s="68"/>
      <c r="F481" s="68"/>
    </row>
    <row r="482" spans="5:6">
      <c r="E482" s="68"/>
      <c r="F482" s="68"/>
    </row>
    <row r="483" spans="5:6">
      <c r="E483" s="68"/>
      <c r="F483" s="68"/>
    </row>
    <row r="484" spans="5:6">
      <c r="E484" s="68"/>
      <c r="F484" s="68"/>
    </row>
    <row r="485" spans="5:6">
      <c r="E485" s="68"/>
      <c r="F485" s="68"/>
    </row>
    <row r="486" spans="5:6">
      <c r="E486" s="68"/>
      <c r="F486" s="68"/>
    </row>
    <row r="487" spans="5:6">
      <c r="E487" s="68"/>
      <c r="F487" s="68"/>
    </row>
    <row r="488" spans="5:6">
      <c r="E488" s="68"/>
      <c r="F488" s="68"/>
    </row>
    <row r="489" spans="5:6">
      <c r="E489" s="68"/>
      <c r="F489" s="68"/>
    </row>
    <row r="490" spans="5:6">
      <c r="E490" s="68"/>
      <c r="F490" s="68"/>
    </row>
    <row r="491" spans="5:6">
      <c r="E491" s="68"/>
      <c r="F491" s="68"/>
    </row>
    <row r="492" spans="5:6">
      <c r="E492" s="68"/>
      <c r="F492" s="68"/>
    </row>
    <row r="493" spans="5:6">
      <c r="E493" s="68"/>
      <c r="F493" s="68"/>
    </row>
    <row r="494" spans="5:6">
      <c r="E494" s="68"/>
      <c r="F494" s="68"/>
    </row>
    <row r="495" spans="5:6">
      <c r="E495" s="68"/>
      <c r="F495" s="68"/>
    </row>
    <row r="496" spans="5:6">
      <c r="E496" s="68"/>
      <c r="F496" s="68"/>
    </row>
    <row r="497" spans="5:6">
      <c r="E497" s="68"/>
      <c r="F497" s="68"/>
    </row>
    <row r="498" spans="5:6">
      <c r="E498" s="68"/>
      <c r="F498" s="68"/>
    </row>
    <row r="499" spans="5:6">
      <c r="E499" s="68"/>
      <c r="F499" s="68"/>
    </row>
    <row r="500" spans="5:6">
      <c r="E500" s="68"/>
      <c r="F500" s="68"/>
    </row>
    <row r="501" spans="5:6">
      <c r="E501" s="68"/>
      <c r="F501" s="68"/>
    </row>
    <row r="502" spans="5:6">
      <c r="E502" s="68"/>
      <c r="F502" s="68"/>
    </row>
    <row r="503" spans="5:6">
      <c r="E503" s="68"/>
      <c r="F503" s="68"/>
    </row>
    <row r="504" spans="5:6">
      <c r="E504" s="68"/>
      <c r="F504" s="68"/>
    </row>
    <row r="505" spans="5:6">
      <c r="E505" s="68"/>
      <c r="F505" s="68"/>
    </row>
    <row r="506" spans="5:6">
      <c r="E506" s="68"/>
      <c r="F506" s="68"/>
    </row>
    <row r="507" spans="5:6">
      <c r="E507" s="68"/>
      <c r="F507" s="68"/>
    </row>
    <row r="508" spans="5:6">
      <c r="E508" s="68"/>
      <c r="F508" s="68"/>
    </row>
    <row r="509" spans="5:6">
      <c r="E509" s="68"/>
      <c r="F509" s="68"/>
    </row>
    <row r="510" spans="5:6">
      <c r="E510" s="68"/>
      <c r="F510" s="68"/>
    </row>
    <row r="511" spans="5:6">
      <c r="E511" s="68"/>
      <c r="F511" s="68"/>
    </row>
    <row r="512" spans="5:6">
      <c r="E512" s="68"/>
      <c r="F512" s="68"/>
    </row>
    <row r="513" spans="5:6">
      <c r="E513" s="68"/>
      <c r="F513" s="68"/>
    </row>
    <row r="514" spans="5:6">
      <c r="E514" s="68"/>
      <c r="F514" s="68"/>
    </row>
    <row r="515" spans="5:6">
      <c r="E515" s="68"/>
      <c r="F515" s="68"/>
    </row>
    <row r="516" spans="5:6">
      <c r="E516" s="68"/>
      <c r="F516" s="68"/>
    </row>
    <row r="517" spans="5:6">
      <c r="E517" s="68"/>
      <c r="F517" s="68"/>
    </row>
    <row r="518" spans="5:6">
      <c r="E518" s="68"/>
      <c r="F518" s="68"/>
    </row>
    <row r="519" spans="5:6">
      <c r="E519" s="68"/>
      <c r="F519" s="68"/>
    </row>
    <row r="520" spans="5:6">
      <c r="E520" s="68"/>
      <c r="F520" s="68"/>
    </row>
    <row r="521" spans="5:6">
      <c r="E521" s="68"/>
      <c r="F521" s="68"/>
    </row>
    <row r="522" spans="5:6">
      <c r="E522" s="68"/>
      <c r="F522" s="68"/>
    </row>
    <row r="523" spans="5:6">
      <c r="E523" s="68"/>
      <c r="F523" s="68"/>
    </row>
    <row r="524" spans="5:6">
      <c r="E524" s="68"/>
      <c r="F524" s="68"/>
    </row>
    <row r="525" spans="5:6">
      <c r="E525" s="68"/>
      <c r="F525" s="68"/>
    </row>
    <row r="526" spans="5:6">
      <c r="E526" s="68"/>
      <c r="F526" s="68"/>
    </row>
    <row r="527" spans="5:6">
      <c r="E527" s="68"/>
      <c r="F527" s="68"/>
    </row>
    <row r="528" spans="5:6">
      <c r="E528" s="68"/>
      <c r="F528" s="68"/>
    </row>
    <row r="529" spans="5:6">
      <c r="E529" s="68"/>
      <c r="F529" s="68"/>
    </row>
    <row r="530" spans="5:6">
      <c r="E530" s="68"/>
      <c r="F530" s="68"/>
    </row>
    <row r="531" spans="5:6">
      <c r="E531" s="68"/>
      <c r="F531" s="68"/>
    </row>
    <row r="532" spans="5:6">
      <c r="E532" s="68"/>
      <c r="F532" s="68"/>
    </row>
    <row r="533" spans="5:6">
      <c r="E533" s="68"/>
      <c r="F533" s="68"/>
    </row>
    <row r="534" spans="5:6">
      <c r="E534" s="68"/>
      <c r="F534" s="68"/>
    </row>
    <row r="535" spans="5:6">
      <c r="E535" s="68"/>
      <c r="F535" s="68"/>
    </row>
    <row r="536" spans="5:6">
      <c r="E536" s="68"/>
      <c r="F536" s="68"/>
    </row>
    <row r="537" spans="5:6">
      <c r="E537" s="68"/>
      <c r="F537" s="68"/>
    </row>
    <row r="538" spans="5:6">
      <c r="E538" s="68"/>
      <c r="F538" s="68"/>
    </row>
    <row r="539" spans="5:6">
      <c r="E539" s="68"/>
      <c r="F539" s="68"/>
    </row>
    <row r="540" spans="5:6">
      <c r="E540" s="68"/>
      <c r="F540" s="68"/>
    </row>
    <row r="541" spans="5:6">
      <c r="E541" s="68"/>
      <c r="F541" s="68"/>
    </row>
    <row r="542" spans="5:6">
      <c r="E542" s="68"/>
      <c r="F542" s="68"/>
    </row>
    <row r="543" spans="5:6">
      <c r="E543" s="68"/>
      <c r="F543" s="68"/>
    </row>
    <row r="544" spans="5:6">
      <c r="E544" s="68"/>
      <c r="F544" s="68"/>
    </row>
    <row r="545" spans="5:6">
      <c r="E545" s="68"/>
      <c r="F545" s="68"/>
    </row>
    <row r="546" spans="5:6">
      <c r="E546" s="68"/>
      <c r="F546" s="68"/>
    </row>
    <row r="547" spans="5:6">
      <c r="E547" s="68"/>
      <c r="F547" s="68"/>
    </row>
    <row r="548" spans="5:6">
      <c r="E548" s="68"/>
      <c r="F548" s="68"/>
    </row>
    <row r="549" spans="5:6">
      <c r="E549" s="68"/>
      <c r="F549" s="68"/>
    </row>
    <row r="550" spans="5:6">
      <c r="E550" s="68"/>
      <c r="F550" s="68"/>
    </row>
    <row r="551" spans="5:6">
      <c r="E551" s="68"/>
      <c r="F551" s="68"/>
    </row>
    <row r="552" spans="5:6">
      <c r="E552" s="68"/>
      <c r="F552" s="68"/>
    </row>
    <row r="553" spans="5:6">
      <c r="E553" s="68"/>
      <c r="F553" s="68"/>
    </row>
    <row r="554" spans="5:6">
      <c r="E554" s="68"/>
      <c r="F554" s="68"/>
    </row>
    <row r="555" spans="5:6">
      <c r="E555" s="68"/>
      <c r="F555" s="68"/>
    </row>
    <row r="556" spans="5:6">
      <c r="E556" s="68"/>
      <c r="F556" s="68"/>
    </row>
    <row r="557" spans="5:6">
      <c r="E557" s="68"/>
      <c r="F557" s="68"/>
    </row>
    <row r="558" spans="5:6">
      <c r="E558" s="68"/>
      <c r="F558" s="68"/>
    </row>
    <row r="559" spans="5:6">
      <c r="E559" s="68"/>
      <c r="F559" s="68"/>
    </row>
    <row r="560" spans="5:6">
      <c r="E560" s="68"/>
      <c r="F560" s="68"/>
    </row>
    <row r="561" spans="5:6">
      <c r="E561" s="68"/>
      <c r="F561" s="68"/>
    </row>
    <row r="562" spans="5:6">
      <c r="E562" s="68"/>
      <c r="F562" s="68"/>
    </row>
    <row r="563" spans="5:6">
      <c r="E563" s="68"/>
      <c r="F563" s="68"/>
    </row>
    <row r="564" spans="5:6">
      <c r="E564" s="68"/>
      <c r="F564" s="68"/>
    </row>
    <row r="565" spans="5:6">
      <c r="E565" s="68"/>
      <c r="F565" s="68"/>
    </row>
    <row r="566" spans="5:6">
      <c r="E566" s="68"/>
      <c r="F566" s="68"/>
    </row>
    <row r="567" spans="5:6">
      <c r="E567" s="68"/>
      <c r="F567" s="68"/>
    </row>
    <row r="568" spans="5:6">
      <c r="E568" s="68"/>
      <c r="F568" s="68"/>
    </row>
    <row r="569" spans="5:6">
      <c r="E569" s="68"/>
      <c r="F569" s="68"/>
    </row>
    <row r="570" spans="5:6">
      <c r="E570" s="68"/>
      <c r="F570" s="68"/>
    </row>
    <row r="571" spans="5:6">
      <c r="E571" s="68"/>
      <c r="F571" s="68"/>
    </row>
    <row r="572" spans="5:6">
      <c r="E572" s="68"/>
      <c r="F572" s="68"/>
    </row>
    <row r="573" spans="5:6">
      <c r="E573" s="68"/>
      <c r="F573" s="68"/>
    </row>
    <row r="574" spans="5:6">
      <c r="E574" s="68"/>
      <c r="F574" s="68"/>
    </row>
    <row r="575" spans="5:6">
      <c r="E575" s="68"/>
      <c r="F575" s="68"/>
    </row>
    <row r="576" spans="5:6">
      <c r="E576" s="68"/>
      <c r="F576" s="68"/>
    </row>
    <row r="577" spans="5:6">
      <c r="E577" s="68"/>
      <c r="F577" s="68"/>
    </row>
    <row r="578" spans="5:6">
      <c r="E578" s="68"/>
      <c r="F578" s="68"/>
    </row>
    <row r="579" spans="5:6">
      <c r="E579" s="68"/>
      <c r="F579" s="68"/>
    </row>
    <row r="580" spans="5:6">
      <c r="E580" s="68"/>
      <c r="F580" s="68"/>
    </row>
    <row r="581" spans="5:6">
      <c r="E581" s="68"/>
      <c r="F581" s="68"/>
    </row>
    <row r="582" spans="5:6">
      <c r="E582" s="68"/>
      <c r="F582" s="68"/>
    </row>
    <row r="583" spans="5:6">
      <c r="E583" s="68"/>
      <c r="F583" s="68"/>
    </row>
    <row r="584" spans="5:6">
      <c r="E584" s="68"/>
      <c r="F584" s="68"/>
    </row>
    <row r="585" spans="5:6">
      <c r="E585" s="68"/>
      <c r="F585" s="68"/>
    </row>
    <row r="586" spans="5:6">
      <c r="E586" s="68"/>
      <c r="F586" s="68"/>
    </row>
    <row r="587" spans="5:6">
      <c r="E587" s="68"/>
      <c r="F587" s="68"/>
    </row>
    <row r="588" spans="5:6">
      <c r="E588" s="68"/>
      <c r="F588" s="68"/>
    </row>
    <row r="589" spans="5:6">
      <c r="E589" s="68"/>
      <c r="F589" s="68"/>
    </row>
    <row r="590" spans="5:6">
      <c r="E590" s="68"/>
      <c r="F590" s="68"/>
    </row>
    <row r="591" spans="5:6">
      <c r="E591" s="68"/>
      <c r="F591" s="68"/>
    </row>
    <row r="592" spans="5:6">
      <c r="E592" s="68"/>
      <c r="F592" s="68"/>
    </row>
    <row r="593" spans="5:6">
      <c r="E593" s="68"/>
      <c r="F593" s="68"/>
    </row>
    <row r="594" spans="5:6">
      <c r="E594" s="68"/>
      <c r="F594" s="68"/>
    </row>
    <row r="595" spans="5:6">
      <c r="E595" s="68"/>
      <c r="F595" s="68"/>
    </row>
    <row r="596" spans="5:6">
      <c r="E596" s="68"/>
      <c r="F596" s="68"/>
    </row>
    <row r="597" spans="5:6">
      <c r="E597" s="68"/>
      <c r="F597" s="68"/>
    </row>
    <row r="598" spans="5:6">
      <c r="E598" s="68"/>
      <c r="F598" s="68"/>
    </row>
    <row r="599" spans="5:6">
      <c r="E599" s="68"/>
      <c r="F599" s="68"/>
    </row>
    <row r="600" spans="5:6">
      <c r="E600" s="68"/>
      <c r="F600" s="68"/>
    </row>
    <row r="601" spans="5:6">
      <c r="E601" s="68"/>
      <c r="F601" s="68"/>
    </row>
    <row r="602" spans="5:6">
      <c r="E602" s="68"/>
      <c r="F602" s="68"/>
    </row>
    <row r="603" spans="5:6">
      <c r="E603" s="68"/>
      <c r="F603" s="68"/>
    </row>
    <row r="604" spans="5:6">
      <c r="E604" s="68"/>
      <c r="F604" s="68"/>
    </row>
    <row r="605" spans="5:6">
      <c r="E605" s="68"/>
      <c r="F605" s="68"/>
    </row>
    <row r="606" spans="5:6">
      <c r="E606" s="68"/>
      <c r="F606" s="68"/>
    </row>
    <row r="607" spans="5:6">
      <c r="E607" s="68"/>
      <c r="F607" s="68"/>
    </row>
    <row r="608" spans="5:6">
      <c r="E608" s="68"/>
      <c r="F608" s="68"/>
    </row>
    <row r="609" spans="5:6">
      <c r="E609" s="68"/>
      <c r="F609" s="68"/>
    </row>
    <row r="610" spans="5:6">
      <c r="E610" s="68"/>
      <c r="F610" s="68"/>
    </row>
    <row r="611" spans="5:6">
      <c r="E611" s="68"/>
      <c r="F611" s="68"/>
    </row>
    <row r="612" spans="5:6">
      <c r="E612" s="68"/>
      <c r="F612" s="68"/>
    </row>
    <row r="613" spans="5:6">
      <c r="E613" s="68"/>
      <c r="F613" s="68"/>
    </row>
    <row r="614" spans="5:6">
      <c r="E614" s="68"/>
      <c r="F614" s="68"/>
    </row>
    <row r="615" spans="5:6">
      <c r="E615" s="68"/>
      <c r="F615" s="68"/>
    </row>
    <row r="616" spans="5:6">
      <c r="E616" s="68"/>
      <c r="F616" s="68"/>
    </row>
    <row r="617" spans="5:6">
      <c r="E617" s="68"/>
      <c r="F617" s="68"/>
    </row>
    <row r="618" spans="5:6">
      <c r="E618" s="68"/>
      <c r="F618" s="68"/>
    </row>
    <row r="619" spans="5:6">
      <c r="E619" s="68"/>
      <c r="F619" s="68"/>
    </row>
    <row r="620" spans="5:6">
      <c r="E620" s="68"/>
      <c r="F620" s="68"/>
    </row>
    <row r="621" spans="5:6">
      <c r="E621" s="68"/>
      <c r="F621" s="68"/>
    </row>
    <row r="622" spans="5:6">
      <c r="E622" s="68"/>
      <c r="F622" s="68"/>
    </row>
    <row r="623" spans="5:6">
      <c r="E623" s="68"/>
      <c r="F623" s="68"/>
    </row>
    <row r="624" spans="5:6">
      <c r="E624" s="68"/>
      <c r="F624" s="68"/>
    </row>
    <row r="625" spans="5:6">
      <c r="E625" s="68"/>
      <c r="F625" s="68"/>
    </row>
    <row r="626" spans="5:6">
      <c r="E626" s="68"/>
      <c r="F626" s="68"/>
    </row>
    <row r="627" spans="5:6">
      <c r="E627" s="68"/>
      <c r="F627" s="68"/>
    </row>
    <row r="628" spans="5:6">
      <c r="E628" s="68"/>
      <c r="F628" s="68"/>
    </row>
    <row r="629" spans="5:6">
      <c r="E629" s="68"/>
      <c r="F629" s="68"/>
    </row>
    <row r="630" spans="5:6">
      <c r="E630" s="68"/>
      <c r="F630" s="68"/>
    </row>
    <row r="631" spans="5:6">
      <c r="E631" s="68"/>
      <c r="F631" s="68"/>
    </row>
    <row r="632" spans="5:6">
      <c r="E632" s="68"/>
      <c r="F632" s="68"/>
    </row>
    <row r="633" spans="5:6">
      <c r="E633" s="68"/>
      <c r="F633" s="68"/>
    </row>
    <row r="634" spans="5:6">
      <c r="E634" s="68"/>
      <c r="F634" s="68"/>
    </row>
    <row r="635" spans="5:6">
      <c r="E635" s="68"/>
      <c r="F635" s="68"/>
    </row>
    <row r="636" spans="5:6">
      <c r="E636" s="68"/>
      <c r="F636" s="68"/>
    </row>
    <row r="637" spans="5:6">
      <c r="E637" s="68"/>
      <c r="F637" s="68"/>
    </row>
    <row r="638" spans="5:6">
      <c r="E638" s="68"/>
      <c r="F638" s="68"/>
    </row>
    <row r="639" spans="5:6">
      <c r="E639" s="68"/>
      <c r="F639" s="68"/>
    </row>
    <row r="640" spans="5:6">
      <c r="E640" s="68"/>
      <c r="F640" s="68"/>
    </row>
    <row r="641" spans="5:6">
      <c r="E641" s="68"/>
      <c r="F641" s="68"/>
    </row>
    <row r="642" spans="5:6">
      <c r="E642" s="68"/>
      <c r="F642" s="68"/>
    </row>
    <row r="643" spans="5:6">
      <c r="E643" s="68"/>
      <c r="F643" s="68"/>
    </row>
    <row r="644" spans="5:6">
      <c r="E644" s="68"/>
      <c r="F644" s="68"/>
    </row>
    <row r="645" spans="5:6">
      <c r="E645" s="68"/>
      <c r="F645" s="68"/>
    </row>
    <row r="646" spans="5:6">
      <c r="E646" s="68"/>
      <c r="F646" s="68"/>
    </row>
    <row r="647" spans="5:6">
      <c r="E647" s="68"/>
      <c r="F647" s="68"/>
    </row>
    <row r="648" spans="5:6">
      <c r="E648" s="68"/>
      <c r="F648" s="68"/>
    </row>
    <row r="649" spans="5:6">
      <c r="E649" s="68"/>
      <c r="F649" s="68"/>
    </row>
    <row r="650" spans="5:6">
      <c r="E650" s="68"/>
      <c r="F650" s="68"/>
    </row>
    <row r="651" spans="5:6">
      <c r="E651" s="68"/>
      <c r="F651" s="68"/>
    </row>
    <row r="652" spans="5:6">
      <c r="E652" s="68"/>
      <c r="F652" s="68"/>
    </row>
    <row r="653" spans="5:6">
      <c r="E653" s="68"/>
      <c r="F653" s="68"/>
    </row>
    <row r="654" spans="5:6">
      <c r="E654" s="68"/>
      <c r="F654" s="68"/>
    </row>
    <row r="655" spans="5:6">
      <c r="E655" s="68"/>
      <c r="F655" s="68"/>
    </row>
    <row r="656" spans="5:6">
      <c r="E656" s="68"/>
      <c r="F656" s="68"/>
    </row>
    <row r="657" spans="5:6">
      <c r="E657" s="68"/>
      <c r="F657" s="68"/>
    </row>
    <row r="658" spans="5:6">
      <c r="E658" s="68"/>
      <c r="F658" s="68"/>
    </row>
    <row r="659" spans="5:6">
      <c r="E659" s="68"/>
      <c r="F659" s="68"/>
    </row>
    <row r="660" spans="5:6">
      <c r="E660" s="68"/>
      <c r="F660" s="68"/>
    </row>
    <row r="661" spans="5:6">
      <c r="E661" s="68"/>
      <c r="F661" s="68"/>
    </row>
    <row r="662" spans="5:6">
      <c r="E662" s="68"/>
      <c r="F662" s="68"/>
    </row>
    <row r="663" spans="5:6">
      <c r="E663" s="68"/>
      <c r="F663" s="68"/>
    </row>
    <row r="664" spans="5:6">
      <c r="E664" s="68"/>
      <c r="F664" s="68"/>
    </row>
    <row r="665" spans="5:6">
      <c r="E665" s="68"/>
      <c r="F665" s="68"/>
    </row>
    <row r="666" spans="5:6">
      <c r="E666" s="68"/>
      <c r="F666" s="68"/>
    </row>
    <row r="667" spans="5:6">
      <c r="E667" s="68"/>
      <c r="F667" s="68"/>
    </row>
    <row r="668" spans="5:6">
      <c r="E668" s="68"/>
      <c r="F668" s="68"/>
    </row>
    <row r="669" spans="5:6">
      <c r="E669" s="68"/>
      <c r="F669" s="68"/>
    </row>
    <row r="670" spans="5:6">
      <c r="E670" s="68"/>
      <c r="F670" s="68"/>
    </row>
    <row r="671" spans="5:6">
      <c r="E671" s="68"/>
      <c r="F671" s="68"/>
    </row>
    <row r="672" spans="5:6">
      <c r="E672" s="68"/>
      <c r="F672" s="68"/>
    </row>
    <row r="673" spans="5:6">
      <c r="E673" s="68"/>
      <c r="F673" s="68"/>
    </row>
    <row r="674" spans="5:6">
      <c r="E674" s="68"/>
      <c r="F674" s="68"/>
    </row>
    <row r="675" spans="5:6">
      <c r="E675" s="68"/>
      <c r="F675" s="68"/>
    </row>
    <row r="676" spans="5:6">
      <c r="E676" s="68"/>
      <c r="F676" s="68"/>
    </row>
    <row r="677" spans="5:6">
      <c r="E677" s="68"/>
      <c r="F677" s="68"/>
    </row>
    <row r="678" spans="5:6">
      <c r="E678" s="68"/>
      <c r="F678" s="68"/>
    </row>
    <row r="679" spans="5:6">
      <c r="E679" s="68"/>
      <c r="F679" s="68"/>
    </row>
    <row r="680" spans="5:6">
      <c r="E680" s="68"/>
      <c r="F680" s="68"/>
    </row>
    <row r="681" spans="5:6">
      <c r="E681" s="68"/>
      <c r="F681" s="68"/>
    </row>
    <row r="682" spans="5:6">
      <c r="E682" s="68"/>
      <c r="F682" s="68"/>
    </row>
    <row r="683" spans="5:6">
      <c r="E683" s="68"/>
      <c r="F683" s="68"/>
    </row>
    <row r="684" spans="5:6">
      <c r="E684" s="68"/>
      <c r="F684" s="68"/>
    </row>
    <row r="685" spans="5:6">
      <c r="E685" s="68"/>
      <c r="F685" s="68"/>
    </row>
    <row r="686" spans="5:6">
      <c r="E686" s="68"/>
      <c r="F686" s="68"/>
    </row>
    <row r="687" spans="5:6">
      <c r="E687" s="68"/>
      <c r="F687" s="68"/>
    </row>
    <row r="688" spans="5:6">
      <c r="E688" s="68"/>
      <c r="F688" s="68"/>
    </row>
    <row r="689" spans="5:6">
      <c r="E689" s="68"/>
      <c r="F689" s="68"/>
    </row>
    <row r="690" spans="5:6">
      <c r="E690" s="68"/>
      <c r="F690" s="68"/>
    </row>
    <row r="691" spans="5:6">
      <c r="E691" s="68"/>
      <c r="F691" s="68"/>
    </row>
    <row r="692" spans="5:6">
      <c r="E692" s="68"/>
      <c r="F692" s="68"/>
    </row>
    <row r="693" spans="5:6">
      <c r="E693" s="68"/>
      <c r="F693" s="68"/>
    </row>
    <row r="694" spans="5:6">
      <c r="E694" s="68"/>
      <c r="F694" s="68"/>
    </row>
    <row r="695" spans="5:6">
      <c r="E695" s="68"/>
      <c r="F695" s="68"/>
    </row>
    <row r="696" spans="5:6">
      <c r="E696" s="68"/>
      <c r="F696" s="68"/>
    </row>
    <row r="697" spans="5:6">
      <c r="E697" s="68"/>
      <c r="F697" s="68"/>
    </row>
    <row r="698" spans="5:6">
      <c r="E698" s="68"/>
      <c r="F698" s="68"/>
    </row>
    <row r="699" spans="5:6">
      <c r="E699" s="68"/>
      <c r="F699" s="68"/>
    </row>
    <row r="700" spans="5:6">
      <c r="E700" s="68"/>
      <c r="F700" s="68"/>
    </row>
    <row r="701" spans="5:6">
      <c r="E701" s="68"/>
      <c r="F701" s="68"/>
    </row>
    <row r="702" spans="5:6">
      <c r="E702" s="68"/>
      <c r="F702" s="68"/>
    </row>
    <row r="703" spans="5:6">
      <c r="E703" s="68"/>
      <c r="F703" s="68"/>
    </row>
    <row r="704" spans="5:6">
      <c r="E704" s="68"/>
      <c r="F704" s="68"/>
    </row>
    <row r="705" spans="5:6">
      <c r="E705" s="68"/>
      <c r="F705" s="68"/>
    </row>
    <row r="706" spans="5:6">
      <c r="E706" s="68"/>
      <c r="F706" s="68"/>
    </row>
    <row r="707" spans="5:6">
      <c r="E707" s="68"/>
      <c r="F707" s="68"/>
    </row>
    <row r="708" spans="5:6">
      <c r="E708" s="68"/>
      <c r="F708" s="68"/>
    </row>
    <row r="709" spans="5:6">
      <c r="E709" s="68"/>
      <c r="F709" s="68"/>
    </row>
    <row r="710" spans="5:6">
      <c r="E710" s="68"/>
      <c r="F710" s="68"/>
    </row>
    <row r="711" spans="5:6">
      <c r="E711" s="68"/>
      <c r="F711" s="68"/>
    </row>
    <row r="712" spans="5:6">
      <c r="E712" s="68"/>
      <c r="F712" s="68"/>
    </row>
    <row r="713" spans="5:6">
      <c r="E713" s="68"/>
      <c r="F713" s="68"/>
    </row>
    <row r="714" spans="5:6">
      <c r="E714" s="68"/>
      <c r="F714" s="68"/>
    </row>
    <row r="715" spans="5:6">
      <c r="E715" s="68"/>
      <c r="F715" s="68"/>
    </row>
    <row r="716" spans="5:6">
      <c r="E716" s="68"/>
      <c r="F716" s="68"/>
    </row>
    <row r="717" spans="5:6">
      <c r="E717" s="68"/>
      <c r="F717" s="68"/>
    </row>
    <row r="718" spans="5:6">
      <c r="E718" s="68"/>
      <c r="F718" s="68"/>
    </row>
    <row r="719" spans="5:6">
      <c r="E719" s="68"/>
      <c r="F719" s="68"/>
    </row>
    <row r="720" spans="5:6">
      <c r="E720" s="68"/>
      <c r="F720" s="68"/>
    </row>
    <row r="721" spans="5:6">
      <c r="E721" s="68"/>
      <c r="F721" s="68"/>
    </row>
    <row r="722" spans="5:6">
      <c r="E722" s="68"/>
      <c r="F722" s="68"/>
    </row>
    <row r="723" spans="5:6">
      <c r="E723" s="68"/>
      <c r="F723" s="68"/>
    </row>
    <row r="724" spans="5:6">
      <c r="E724" s="68"/>
      <c r="F724" s="68"/>
    </row>
    <row r="725" spans="5:6">
      <c r="E725" s="68"/>
      <c r="F725" s="68"/>
    </row>
    <row r="726" spans="5:6">
      <c r="E726" s="68"/>
      <c r="F726" s="68"/>
    </row>
    <row r="727" spans="5:6">
      <c r="E727" s="68"/>
      <c r="F727" s="68"/>
    </row>
    <row r="728" spans="5:6">
      <c r="E728" s="68"/>
      <c r="F728" s="68"/>
    </row>
    <row r="729" spans="5:6">
      <c r="E729" s="68"/>
      <c r="F729" s="68"/>
    </row>
    <row r="730" spans="5:6">
      <c r="E730" s="68"/>
      <c r="F730" s="68"/>
    </row>
    <row r="731" spans="5:6">
      <c r="E731" s="68"/>
      <c r="F731" s="68"/>
    </row>
    <row r="732" spans="5:6">
      <c r="E732" s="68"/>
      <c r="F732" s="68"/>
    </row>
    <row r="733" spans="5:6">
      <c r="E733" s="68"/>
      <c r="F733" s="68"/>
    </row>
    <row r="734" spans="5:6">
      <c r="E734" s="68"/>
      <c r="F734" s="68"/>
    </row>
    <row r="735" spans="5:6">
      <c r="E735" s="68"/>
      <c r="F735" s="68"/>
    </row>
    <row r="736" spans="5:6">
      <c r="E736" s="68"/>
      <c r="F736" s="68"/>
    </row>
    <row r="737" spans="5:6">
      <c r="E737" s="68"/>
      <c r="F737" s="68"/>
    </row>
    <row r="738" spans="5:6">
      <c r="E738" s="68"/>
      <c r="F738" s="68"/>
    </row>
    <row r="739" spans="5:6">
      <c r="E739" s="68"/>
      <c r="F739" s="68"/>
    </row>
    <row r="740" spans="5:6">
      <c r="E740" s="68"/>
      <c r="F740" s="68"/>
    </row>
    <row r="741" spans="5:6">
      <c r="E741" s="68"/>
      <c r="F741" s="68"/>
    </row>
    <row r="742" spans="5:6">
      <c r="E742" s="68"/>
      <c r="F742" s="68"/>
    </row>
    <row r="743" spans="5:6">
      <c r="E743" s="68"/>
      <c r="F743" s="68"/>
    </row>
    <row r="744" spans="5:6">
      <c r="E744" s="68"/>
      <c r="F744" s="68"/>
    </row>
    <row r="745" spans="5:6">
      <c r="E745" s="68"/>
      <c r="F745" s="68"/>
    </row>
    <row r="746" spans="5:6">
      <c r="E746" s="68"/>
      <c r="F746" s="68"/>
    </row>
    <row r="747" spans="5:6">
      <c r="E747" s="68"/>
      <c r="F747" s="68"/>
    </row>
    <row r="748" spans="5:6">
      <c r="E748" s="68"/>
      <c r="F748" s="68"/>
    </row>
    <row r="749" spans="5:6">
      <c r="E749" s="68"/>
      <c r="F749" s="68"/>
    </row>
    <row r="750" spans="5:6">
      <c r="E750" s="68"/>
      <c r="F750" s="68"/>
    </row>
    <row r="751" spans="5:6">
      <c r="E751" s="68"/>
      <c r="F751" s="68"/>
    </row>
    <row r="752" spans="5:6">
      <c r="E752" s="68"/>
      <c r="F752" s="68"/>
    </row>
    <row r="753" spans="5:6">
      <c r="E753" s="68"/>
      <c r="F753" s="68"/>
    </row>
    <row r="754" spans="5:6">
      <c r="E754" s="68"/>
      <c r="F754" s="68"/>
    </row>
    <row r="755" spans="5:6">
      <c r="E755" s="68"/>
      <c r="F755" s="68"/>
    </row>
    <row r="756" spans="5:6">
      <c r="E756" s="68"/>
      <c r="F756" s="68"/>
    </row>
    <row r="757" spans="5:6">
      <c r="E757" s="68"/>
      <c r="F757" s="68"/>
    </row>
    <row r="758" spans="5:6">
      <c r="E758" s="68"/>
      <c r="F758" s="68"/>
    </row>
    <row r="759" spans="5:6">
      <c r="E759" s="68"/>
      <c r="F759" s="68"/>
    </row>
    <row r="760" spans="5:6">
      <c r="E760" s="68"/>
      <c r="F760" s="68"/>
    </row>
    <row r="761" spans="5:6">
      <c r="E761" s="68"/>
      <c r="F761" s="68"/>
    </row>
    <row r="762" spans="5:6">
      <c r="E762" s="68"/>
      <c r="F762" s="68"/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Структура шаблона</vt:lpstr>
      <vt:lpstr>Шаблон события</vt:lpstr>
      <vt:lpstr>Текущие события</vt:lpstr>
      <vt:lpstr>Договор образец</vt:lpstr>
      <vt:lpstr>Сочи 2025</vt:lpstr>
      <vt:lpstr>Сочи 2025 крыло</vt:lpstr>
      <vt:lpstr>Сочи 2025 староватут</vt:lpstr>
      <vt:lpstr>Данные для печати</vt:lpstr>
      <vt:lpstr>ссссс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BikeCase ru</cp:lastModifiedBy>
  <cp:lastPrinted>2025-10-11T15:22:12Z</cp:lastPrinted>
  <dcterms:created xsi:type="dcterms:W3CDTF">2015-06-05T18:19:34Z</dcterms:created>
  <dcterms:modified xsi:type="dcterms:W3CDTF">2025-10-24T13:42:39Z</dcterms:modified>
</cp:coreProperties>
</file>